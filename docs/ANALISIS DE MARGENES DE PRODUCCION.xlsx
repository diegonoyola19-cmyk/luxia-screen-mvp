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APTOP\Downloads\"/>
    </mc:Choice>
  </mc:AlternateContent>
  <xr:revisionPtr revIDLastSave="0" documentId="13_ncr:1_{7350216A-948A-48FE-B33F-379CB7074A84}" xr6:coauthVersionLast="47" xr6:coauthVersionMax="47" xr10:uidLastSave="{00000000-0000-0000-0000-000000000000}"/>
  <bookViews>
    <workbookView xWindow="-96" yWindow="0" windowWidth="11712" windowHeight="13776" xr2:uid="{58A5FDFB-623C-4BE6-9EF6-073B65DB95D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575" i="1" l="1"/>
  <c r="E569" i="1"/>
  <c r="E566" i="1"/>
  <c r="E567" i="1"/>
  <c r="E568" i="1"/>
  <c r="E565" i="1"/>
  <c r="E577" i="1"/>
  <c r="E552" i="1"/>
  <c r="E554" i="1" s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499" i="1"/>
  <c r="E527" i="1" s="1"/>
  <c r="E529" i="1" s="1"/>
  <c r="E475" i="1"/>
  <c r="E476" i="1"/>
  <c r="E482" i="1"/>
  <c r="E481" i="1"/>
  <c r="E480" i="1"/>
  <c r="E479" i="1"/>
  <c r="E478" i="1"/>
  <c r="E477" i="1"/>
  <c r="E474" i="1"/>
  <c r="E484" i="1" s="1"/>
  <c r="E486" i="1" s="1"/>
  <c r="E460" i="1"/>
  <c r="E459" i="1"/>
  <c r="E458" i="1"/>
  <c r="E457" i="1"/>
  <c r="E456" i="1"/>
  <c r="E455" i="1"/>
  <c r="E454" i="1"/>
  <c r="E453" i="1"/>
  <c r="E462" i="1" s="1"/>
  <c r="E444" i="1"/>
  <c r="E443" i="1"/>
  <c r="E442" i="1"/>
  <c r="E441" i="1"/>
  <c r="E440" i="1"/>
  <c r="E437" i="1"/>
  <c r="E436" i="1"/>
  <c r="E433" i="1"/>
  <c r="E420" i="1"/>
  <c r="E421" i="1"/>
  <c r="E419" i="1"/>
  <c r="E418" i="1"/>
  <c r="E415" i="1"/>
  <c r="E414" i="1"/>
  <c r="E411" i="1"/>
  <c r="E422" i="1" s="1"/>
  <c r="E424" i="1" s="1"/>
  <c r="E369" i="1"/>
  <c r="E400" i="1"/>
  <c r="E398" i="1"/>
  <c r="E397" i="1"/>
  <c r="E395" i="1"/>
  <c r="E394" i="1"/>
  <c r="E393" i="1"/>
  <c r="E401" i="1"/>
  <c r="E403" i="1" s="1"/>
  <c r="E376" i="1"/>
  <c r="E375" i="1"/>
  <c r="E374" i="1"/>
  <c r="E373" i="1"/>
  <c r="E372" i="1"/>
  <c r="E371" i="1"/>
  <c r="E368" i="1"/>
  <c r="E378" i="1" s="1"/>
  <c r="E380" i="1" s="1"/>
  <c r="E354" i="1"/>
  <c r="E353" i="1"/>
  <c r="E352" i="1"/>
  <c r="E351" i="1"/>
  <c r="E350" i="1"/>
  <c r="E356" i="1"/>
  <c r="E358" i="1" s="1"/>
  <c r="E322" i="1"/>
  <c r="E330" i="1"/>
  <c r="E329" i="1"/>
  <c r="E328" i="1"/>
  <c r="E327" i="1"/>
  <c r="E326" i="1"/>
  <c r="E325" i="1"/>
  <c r="E332" i="1"/>
  <c r="E334" i="1" s="1"/>
  <c r="E308" i="1"/>
  <c r="E307" i="1"/>
  <c r="E306" i="1"/>
  <c r="E305" i="1"/>
  <c r="E304" i="1"/>
  <c r="E302" i="1"/>
  <c r="E301" i="1"/>
  <c r="E310" i="1" s="1"/>
  <c r="E290" i="1"/>
  <c r="E288" i="1"/>
  <c r="E287" i="1"/>
  <c r="E284" i="1"/>
  <c r="E283" i="1"/>
  <c r="E282" i="1"/>
  <c r="E281" i="1"/>
  <c r="E280" i="1"/>
  <c r="E291" i="1" s="1"/>
  <c r="E293" i="1" s="1"/>
  <c r="E264" i="1"/>
  <c r="E262" i="1"/>
  <c r="E261" i="1"/>
  <c r="E258" i="1"/>
  <c r="E257" i="1"/>
  <c r="E256" i="1"/>
  <c r="E255" i="1"/>
  <c r="E254" i="1"/>
  <c r="E265" i="1" s="1"/>
  <c r="E267" i="1" s="1"/>
  <c r="E238" i="1"/>
  <c r="E237" i="1"/>
  <c r="E236" i="1"/>
  <c r="E235" i="1"/>
  <c r="E234" i="1"/>
  <c r="E233" i="1"/>
  <c r="E232" i="1"/>
  <c r="E231" i="1"/>
  <c r="E230" i="1"/>
  <c r="E229" i="1"/>
  <c r="E228" i="1"/>
  <c r="E239" i="1" s="1"/>
  <c r="E241" i="1" s="1"/>
  <c r="E212" i="1"/>
  <c r="E211" i="1"/>
  <c r="E210" i="1"/>
  <c r="E209" i="1"/>
  <c r="E208" i="1"/>
  <c r="E207" i="1"/>
  <c r="E206" i="1"/>
  <c r="E205" i="1"/>
  <c r="E214" i="1" s="1"/>
  <c r="E194" i="1"/>
  <c r="E193" i="1"/>
  <c r="E192" i="1"/>
  <c r="E191" i="1"/>
  <c r="E190" i="1"/>
  <c r="E189" i="1"/>
  <c r="E188" i="1"/>
  <c r="E187" i="1"/>
  <c r="E196" i="1" s="1"/>
  <c r="E169" i="1"/>
  <c r="E176" i="1"/>
  <c r="E175" i="1"/>
  <c r="E174" i="1"/>
  <c r="E173" i="1"/>
  <c r="E172" i="1"/>
  <c r="E171" i="1"/>
  <c r="E170" i="1"/>
  <c r="E158" i="1"/>
  <c r="E157" i="1"/>
  <c r="E156" i="1"/>
  <c r="E155" i="1"/>
  <c r="E154" i="1"/>
  <c r="E153" i="1"/>
  <c r="E152" i="1"/>
  <c r="E151" i="1"/>
  <c r="E160" i="1" s="1"/>
  <c r="E131" i="1"/>
  <c r="E132" i="1"/>
  <c r="E133" i="1"/>
  <c r="E134" i="1"/>
  <c r="E135" i="1"/>
  <c r="E136" i="1"/>
  <c r="E137" i="1"/>
  <c r="E138" i="1"/>
  <c r="E140" i="1"/>
  <c r="E142" i="1"/>
  <c r="E110" i="1"/>
  <c r="E117" i="1"/>
  <c r="E116" i="1"/>
  <c r="E115" i="1"/>
  <c r="E114" i="1"/>
  <c r="E113" i="1"/>
  <c r="E112" i="1"/>
  <c r="E111" i="1"/>
  <c r="E93" i="1"/>
  <c r="E92" i="1"/>
  <c r="E91" i="1"/>
  <c r="E90" i="1"/>
  <c r="E89" i="1"/>
  <c r="E88" i="1"/>
  <c r="E87" i="1"/>
  <c r="E95" i="1" s="1"/>
  <c r="E97" i="1"/>
  <c r="E72" i="1"/>
  <c r="E71" i="1"/>
  <c r="E70" i="1"/>
  <c r="E69" i="1"/>
  <c r="E68" i="1"/>
  <c r="E67" i="1"/>
  <c r="E66" i="1"/>
  <c r="E65" i="1"/>
  <c r="E64" i="1"/>
  <c r="E63" i="1"/>
  <c r="E62" i="1"/>
  <c r="E73" i="1" s="1"/>
  <c r="E75" i="1" s="1"/>
  <c r="E44" i="1"/>
  <c r="E51" i="1"/>
  <c r="E50" i="1"/>
  <c r="E49" i="1"/>
  <c r="E48" i="1"/>
  <c r="E47" i="1"/>
  <c r="E46" i="1"/>
  <c r="E45" i="1"/>
  <c r="E52" i="1"/>
  <c r="E54" i="1" s="1"/>
  <c r="E445" i="1" l="1"/>
  <c r="E447" i="1" s="1"/>
  <c r="E464" i="1"/>
  <c r="F462" i="1"/>
  <c r="E312" i="1"/>
  <c r="F310" i="1"/>
  <c r="E216" i="1"/>
  <c r="F214" i="1"/>
  <c r="E178" i="1"/>
  <c r="E198" i="1"/>
  <c r="F196" i="1"/>
  <c r="E119" i="1"/>
  <c r="E121" i="1" s="1"/>
  <c r="E180" i="1"/>
  <c r="F178" i="1"/>
  <c r="E162" i="1"/>
  <c r="F160" i="1"/>
  <c r="E25" i="1"/>
  <c r="E27" i="1"/>
  <c r="E32" i="1"/>
  <c r="E31" i="1"/>
  <c r="E30" i="1"/>
  <c r="E29" i="1"/>
  <c r="E28" i="1"/>
  <c r="E34" i="1"/>
  <c r="E9" i="1"/>
  <c r="E10" i="1"/>
  <c r="E11" i="1"/>
  <c r="E12" i="1"/>
  <c r="E13" i="1"/>
  <c r="E14" i="1"/>
  <c r="E15" i="1"/>
  <c r="E8" i="1"/>
  <c r="E17" i="1" s="1"/>
  <c r="F17" i="1" l="1"/>
  <c r="E19" i="1"/>
  <c r="E36" i="1"/>
</calcChain>
</file>

<file path=xl/sharedStrings.xml><?xml version="1.0" encoding="utf-8"?>
<sst xmlns="http://schemas.openxmlformats.org/spreadsheetml/2006/main" count="775" uniqueCount="258">
  <si>
    <t>ANALISIS DE PRODUCCION</t>
  </si>
  <si>
    <t>PROYECTO</t>
  </si>
  <si>
    <t>CASTELLA SAGARRA</t>
  </si>
  <si>
    <t>CODIGOS</t>
  </si>
  <si>
    <t>0-002-70-94696</t>
  </si>
  <si>
    <t>0-151-AL-CLA19</t>
  </si>
  <si>
    <t>0-154-PB-E03WH</t>
  </si>
  <si>
    <t>0-154-pb-e04wh</t>
  </si>
  <si>
    <t>0-154-PE-00501</t>
  </si>
  <si>
    <t>0-154-CL-V20GR</t>
  </si>
  <si>
    <t>0-151-CA-00IGY</t>
  </si>
  <si>
    <t>CANTIDAD USADA</t>
  </si>
  <si>
    <t>DESCRIPCION</t>
  </si>
  <si>
    <t xml:space="preserve">Rollux Premium Plus Blackout FR Stone Grey 96.06"    </t>
  </si>
  <si>
    <t xml:space="preserve">Rollux-Al. Bottomrail Classic Satin Anodized 19'  </t>
  </si>
  <si>
    <t xml:space="preserve">EURO Medium Bracket | HM | 2" (50mm) Proj. | White    </t>
  </si>
  <si>
    <t xml:space="preserve">EURO Medium Bracket | Large TM | 2" (50mm) Proj. | White  </t>
  </si>
  <si>
    <t xml:space="preserve">End Plug for Euro Brackets 1½" (38mm) | White    </t>
  </si>
  <si>
    <t xml:space="preserve">Elegant Clutch VTX 20 - Tab Mount - 1 1/2" (38mm) - Grey    </t>
  </si>
  <si>
    <t xml:space="preserve">Small Cord/Chain Weight Pulley - Grey (Export Only)   </t>
  </si>
  <si>
    <t>1 ROLLUX PREMIUM STONE GREY1.56 X 0.80</t>
  </si>
  <si>
    <t>2 ROLLUX PREMIUM STONE GREY1.57 X 1.00</t>
  </si>
  <si>
    <t>COSTO AVERAGE</t>
  </si>
  <si>
    <t>0-154-TU-38111</t>
  </si>
  <si>
    <t xml:space="preserve">1½" (38mm) Alu. NEO Tube T6, W/Tape, 19' MF       </t>
  </si>
  <si>
    <t>COSTO FABRICACION</t>
  </si>
  <si>
    <t>COSTO</t>
  </si>
  <si>
    <t>VENTA</t>
  </si>
  <si>
    <t>MARGEN</t>
  </si>
  <si>
    <t>FREUND</t>
  </si>
  <si>
    <t>ESCALON</t>
  </si>
  <si>
    <t>1 ROLLUX VX SCREEN 1% WGITE PEARL</t>
  </si>
  <si>
    <t>4 ROLLUX PREMIUM BEIGE 0.57 X 1.45</t>
  </si>
  <si>
    <t>0-154-CL-V20IV</t>
  </si>
  <si>
    <t xml:space="preserve">Elegant Clutch VTX 20 - Tab Mount - 1 1/2" (38mm) - Ivory   </t>
  </si>
  <si>
    <t>0.151-CA-001IV</t>
  </si>
  <si>
    <t xml:space="preserve">Small Cord/Chain Weight Pulley - Ivory (Export Only)        </t>
  </si>
  <si>
    <t>SE USARON RECORTES DE TELA Y ALUMINIOS</t>
  </si>
  <si>
    <t>SMC</t>
  </si>
  <si>
    <t>1 PINPOINTE SNOW 2.20 X 2.32</t>
  </si>
  <si>
    <t>1 PINPOINTE SNOW 1.52 X 1.95</t>
  </si>
  <si>
    <t>1 PINPOINTE SNOW 1.24 X 2.30</t>
  </si>
  <si>
    <t>0-002-67-90098</t>
  </si>
  <si>
    <t xml:space="preserve">Rollux NEW Pinpointe Blackout FR White/Snow Flakes 98.43"   </t>
  </si>
  <si>
    <t>0-151-CA-001WH</t>
  </si>
  <si>
    <t xml:space="preserve">Small Cord/Chain Weight Pulley - White (Export Only)     </t>
  </si>
  <si>
    <t>1 NEOLLUX BAHIA WOOD 1.50 X 1.15</t>
  </si>
  <si>
    <t>1 NEOLLUX BAHIA WOOD 1.60 X 1.20</t>
  </si>
  <si>
    <t>1 NEOLLUX BAHIA WOOD 1.00 X 1.18</t>
  </si>
  <si>
    <t xml:space="preserve">Neolux - Bahia Dim Out Wood 110.24"        </t>
  </si>
  <si>
    <t>0-005-39-00400</t>
  </si>
  <si>
    <t>0-149-10-CRZ19</t>
  </si>
  <si>
    <t>0-159-AL-02Z19</t>
  </si>
  <si>
    <t>0-149-10-BRMZC</t>
  </si>
  <si>
    <t>0-159-AL-03W19</t>
  </si>
  <si>
    <t>0-154-CL-V20WH</t>
  </si>
  <si>
    <t xml:space="preserve">Rollux- Alum. Cassette 100 Round for Screw Bronze 19'     </t>
  </si>
  <si>
    <t>0-149-08-E38WH</t>
  </si>
  <si>
    <t xml:space="preserve">Neolux - Aluminum Bottomrail I Bronze 19"     </t>
  </si>
  <si>
    <t>Cassette 100/120 Bracket | Large TM | 1.5" (38mm) Projection</t>
  </si>
  <si>
    <t xml:space="preserve">0-149-10-BR16I        </t>
  </si>
  <si>
    <t xml:space="preserve">Cassette 100/120/EDGE Installation Bracket | Zinc Plated    </t>
  </si>
  <si>
    <t xml:space="preserve">1½" (38mm) Alu. NEO Tube T6, W/Tape, 19' MF   </t>
  </si>
  <si>
    <t xml:space="preserve">Neolux - Aluminum Inside Tube I White 19'      </t>
  </si>
  <si>
    <t xml:space="preserve">Elegant Clutch VTX 20 - Tab Mount - 1 1/2" (38mm) - White   </t>
  </si>
  <si>
    <t xml:space="preserve">Rollux- Cassette 100/120 End Plug 1 1/2" (38mm) White    </t>
  </si>
  <si>
    <t>0-151-CA-001BZ</t>
  </si>
  <si>
    <t xml:space="preserve">Small Cord/Chain Weight Pulley - Bronze (Export Only)      </t>
  </si>
  <si>
    <t>0-149-10-CO0NB</t>
  </si>
  <si>
    <t xml:space="preserve">Cassette 100 Round End Cover for Screw, New Design Brown  </t>
  </si>
  <si>
    <t>EL CASCO</t>
  </si>
  <si>
    <t>1 PREMIUM BISQUE 1.43 X 2.57</t>
  </si>
  <si>
    <t>0-004-86-22018</t>
  </si>
  <si>
    <t>1  VX 1 % WHITE LINEN 1.94 X 2.57</t>
  </si>
  <si>
    <t>1  VX 1% WHITE LINEN 1.13 X 2.57</t>
  </si>
  <si>
    <t>0-002-70-93318</t>
  </si>
  <si>
    <t xml:space="preserve">VX Screen 3000-1 White Linen 118.11"       </t>
  </si>
  <si>
    <t xml:space="preserve">Rollux Premium Plus Blackout FR Bisque 118.11"   </t>
  </si>
  <si>
    <t>SOYAPANGO</t>
  </si>
  <si>
    <t>1 PREMIUM LIGTH GREY 1.20 X 1.60</t>
  </si>
  <si>
    <t>0-151-CA-001GY</t>
  </si>
  <si>
    <t xml:space="preserve">Small Cord/Chain Weight Pulley - Grey (Export Only)         </t>
  </si>
  <si>
    <t xml:space="preserve">End Plug for Euro Brackets 1½" (38mm) | White           </t>
  </si>
  <si>
    <t>1 VX 1 % LINEN 2.00 X 1.50</t>
  </si>
  <si>
    <t>0-004-86-00398</t>
  </si>
  <si>
    <t>0-151-AL-CLI19</t>
  </si>
  <si>
    <t>0-151-CA-001IY</t>
  </si>
  <si>
    <t xml:space="preserve">VX Screen 3000-1 Linen 98.43"           </t>
  </si>
  <si>
    <t>FREUND TALLER</t>
  </si>
  <si>
    <t>1 ROLLUX PREMIUM BLACK 1.34 X 0.70</t>
  </si>
  <si>
    <t>1 ROLLUX PREMIUM BLACK 1.04 X 2.00</t>
  </si>
  <si>
    <t>0-002-70-93118</t>
  </si>
  <si>
    <t xml:space="preserve">Rollux Premium Plus Blackout FR Black 118.11"     </t>
  </si>
  <si>
    <t>1 VX 3 % TAUPE 1.985 X 1.70</t>
  </si>
  <si>
    <t>1 VX 3 % TAUPE 1.995 X 1.70</t>
  </si>
  <si>
    <t>1 VX 3 % TAUPE 1.325 X 1.70</t>
  </si>
  <si>
    <t>0-004-87-07098</t>
  </si>
  <si>
    <t xml:space="preserve">Solar Screen 3000-3 Taupe 98"              </t>
  </si>
  <si>
    <t>FREUND LOURDES</t>
  </si>
  <si>
    <t>HOLCIM</t>
  </si>
  <si>
    <t>SHERWIN WILLIAMS</t>
  </si>
  <si>
    <t>1 ROLLUX PREMIUM LIGHT GREY  1.83 X 1.94</t>
  </si>
  <si>
    <t>1 ROLLUX PREMIUM LIGHT GREY  0.91 X 1.98</t>
  </si>
  <si>
    <t>0-002-37-63096</t>
  </si>
  <si>
    <t xml:space="preserve">Rollux Select Blackout FR Light Grey 98.43"    </t>
  </si>
  <si>
    <t>2 ROLLUX PREMIUM LIGHT GREY  1.83 X 1.98</t>
  </si>
  <si>
    <t>GRUPO CALLEJAS</t>
  </si>
  <si>
    <t>1 VX 1% WHITE LINEN 1.75 X 1.20</t>
  </si>
  <si>
    <t>1 VX 1% WHITE LINEN 2.20 X 1.00</t>
  </si>
  <si>
    <t xml:space="preserve">VX Screen 3000-1 White Linen 98.43"   </t>
  </si>
  <si>
    <t xml:space="preserve">0-004-86-22098     </t>
  </si>
  <si>
    <t>SELINA GRIJALVA</t>
  </si>
  <si>
    <t>1 NEOLUX MYKONOS GREY 2.11 X 2.28</t>
  </si>
  <si>
    <t>1 NEOLUX MYKONOS GREY 1.72 X 1.50</t>
  </si>
  <si>
    <t>1 NEOLUX MYKONOS GREY 1.73 X 1.50</t>
  </si>
  <si>
    <t>1 NEOLUX MYKONOS GREY 1.77 X 2.27</t>
  </si>
  <si>
    <t>0-005-18-00400</t>
  </si>
  <si>
    <t xml:space="preserve">Neolux - Mykonos Grey 110.24"    </t>
  </si>
  <si>
    <t>0-149-10-CRW19</t>
  </si>
  <si>
    <t xml:space="preserve">Rollux- Alum. Cassette 100 Round for Screw White 19'  </t>
  </si>
  <si>
    <t>0-159-AL-02A19</t>
  </si>
  <si>
    <t>Neolux - Aluminum Inside Tube I Satin Anodized 19'</t>
  </si>
  <si>
    <t xml:space="preserve">Elegant Clutch VTX 20 - Tab Mount - 1 1/2" (38mm) - Grey   </t>
  </si>
  <si>
    <t>YENNY DE SAFIE</t>
  </si>
  <si>
    <t>SR. WILFREDO</t>
  </si>
  <si>
    <t>CARMEN ZAVALA</t>
  </si>
  <si>
    <t>ALBA ROQUE</t>
  </si>
  <si>
    <t>MEGASERVI</t>
  </si>
  <si>
    <t>ANTONIO SANDOVAL</t>
  </si>
  <si>
    <t>SR. RAFAEL</t>
  </si>
  <si>
    <t>RUDIS ORELLANA</t>
  </si>
  <si>
    <t>1 NEOLUX GLAMOUR BEIGE 1.70 X 1.80</t>
  </si>
  <si>
    <t>1 NEOLUX GLAMOUR BEIGE 1.20 X 1.71</t>
  </si>
  <si>
    <t>0-005-33-00300</t>
  </si>
  <si>
    <t xml:space="preserve">Neolux - Glamour Beige 110.24"         </t>
  </si>
  <si>
    <t>0-159-AL-02w19</t>
  </si>
  <si>
    <t xml:space="preserve">Neolux - Aluminum Bottomrail I White 19 ft    </t>
  </si>
  <si>
    <t>0-154-CL-V20wh</t>
  </si>
  <si>
    <t>0-149-10-CO0NW</t>
  </si>
  <si>
    <t xml:space="preserve">Cassette 100 Round End Cover for Screw, New Design White   </t>
  </si>
  <si>
    <t xml:space="preserve">Neolux - Aluminum Inside Tube I Satin Anodized 19'   </t>
  </si>
  <si>
    <t>0-159-AL-03A19</t>
  </si>
  <si>
    <t xml:space="preserve">FREUND </t>
  </si>
  <si>
    <t>ROOSEVELT</t>
  </si>
  <si>
    <t>KEVIN</t>
  </si>
  <si>
    <t>1 NEOLUX GLAMOUR BEIGE 2.18 X 1.40</t>
  </si>
  <si>
    <t>1 NEOLUX GLAMOUR BEIGE 2.18 X 1.33</t>
  </si>
  <si>
    <t>FREUND ROOSEVEL</t>
  </si>
  <si>
    <t>JOSE ZELAYA</t>
  </si>
  <si>
    <t>2 VX 1% WHITE LINEN 2.00 X 1.40</t>
  </si>
  <si>
    <t>SANTA ANA</t>
  </si>
  <si>
    <t>LA CASA BATRES</t>
  </si>
  <si>
    <t>1 PREMIUM BEIGE 1.66 X 1.00</t>
  </si>
  <si>
    <t>1 PREMIUM BEIGE 0.64 X 1.15</t>
  </si>
  <si>
    <t>1 PREMIUM BEIGE 1.15 X 1.12</t>
  </si>
  <si>
    <t>1 PREMIUM BEIGE 1.175 X 1.12</t>
  </si>
  <si>
    <t>1 PREMIUM BEIGE 1.61 X 1.30</t>
  </si>
  <si>
    <t>0-002-70-92118</t>
  </si>
  <si>
    <t xml:space="preserve">Rollux Premium Plus Blackout FR Beige 118.11"     </t>
  </si>
  <si>
    <t>SONSONATE</t>
  </si>
  <si>
    <t>ALONSO ROMERO</t>
  </si>
  <si>
    <t>TALLER</t>
  </si>
  <si>
    <t>PRISMA CA</t>
  </si>
  <si>
    <t>1 VX 1 % LINEN 1.60 X 3.00</t>
  </si>
  <si>
    <t>1 VX 1 % LINEN 1.52 X 3.00</t>
  </si>
  <si>
    <t>1 VX 1 % LINEN 1.49 X 3.00</t>
  </si>
  <si>
    <t>1 VX 1 % LINEN 1.59 X 3.00</t>
  </si>
  <si>
    <t>DOUGLAS ROQUE</t>
  </si>
  <si>
    <t>1 NEOLUX BAHIA GREY 1.75 X 1.30</t>
  </si>
  <si>
    <t>0-004-86-00318</t>
  </si>
  <si>
    <t xml:space="preserve">VX Screen 3000-1 Linen 118.11"     </t>
  </si>
  <si>
    <t>NORMA LAZO</t>
  </si>
  <si>
    <t>1 NEOLUX BAHIA WOOD 1.43 X 1.02</t>
  </si>
  <si>
    <t xml:space="preserve">Neolux - Bahia Dim Out Wood 110.24"    </t>
  </si>
  <si>
    <t xml:space="preserve">Small Cord/Chain Weight Pulley - Bronze (Export Only)       </t>
  </si>
  <si>
    <t>BEATRIZ GARCIA</t>
  </si>
  <si>
    <t>1 NEOLUX MYKONOS WOOD 2.75 X 1.65</t>
  </si>
  <si>
    <t>2 NEOLUX MYKONOS WOOD 1.30 X 1.65</t>
  </si>
  <si>
    <t>0-005-18-00300</t>
  </si>
  <si>
    <t xml:space="preserve">Neolux - Mykonos Wood 110.24"            </t>
  </si>
  <si>
    <t>0-149-10-CR219</t>
  </si>
  <si>
    <t xml:space="preserve">Rollux- Alum. Cassette 100 Round for Screw Bronze 19'       </t>
  </si>
  <si>
    <t xml:space="preserve">Neolux - Aluminum Bottomrail I Bronze 19" </t>
  </si>
  <si>
    <t>0-154-TU-45211</t>
  </si>
  <si>
    <t>0-154-PA-00501</t>
  </si>
  <si>
    <t xml:space="preserve">1¾" (45mm) Alu. Tube w/2 flat channels&amp;Tape, 19' MF     </t>
  </si>
  <si>
    <t xml:space="preserve">Rollux  45mm Tube Adapter for VTX TM White     </t>
  </si>
  <si>
    <t>LOURDES</t>
  </si>
  <si>
    <t>JIMMY RECINOS</t>
  </si>
  <si>
    <t>3 PP SMOKEY GREY 1.90 X 1.20</t>
  </si>
  <si>
    <t>1 PP SMOKEY GREY 1.74 X 1.65</t>
  </si>
  <si>
    <t>0-002-67-91198</t>
  </si>
  <si>
    <t xml:space="preserve">Rollux NEW Pinpointe Blackout FR Smoke 98.43"     </t>
  </si>
  <si>
    <t>1 PREMIUM OFF WHITE 2.11 X 2.80</t>
  </si>
  <si>
    <t>1 PREMIUM OFF WHITE 2.49 X 1.80</t>
  </si>
  <si>
    <t>1 PREMIUM OFF WHITE 1.90 X 1.80</t>
  </si>
  <si>
    <t>1 PREMIUM OFF WHITE 2.03 X1.80</t>
  </si>
  <si>
    <t>1 PREMIUM OFF WHITE 2.63 X 1.80</t>
  </si>
  <si>
    <t>0-002-37-61118</t>
  </si>
  <si>
    <t xml:space="preserve">Rollux Select Blackout FR Off White 118.11"  </t>
  </si>
  <si>
    <t>0-151-AL-CLW19</t>
  </si>
  <si>
    <t xml:space="preserve">Rollux-Al. Bottomrail Classic White 19'          </t>
  </si>
  <si>
    <t xml:space="preserve">Rollux  45mm Tube Adapter for VTX TM White   </t>
  </si>
  <si>
    <t>SALVADOR SIMAN DADA</t>
  </si>
  <si>
    <t>1 VX 3 % WHITE LINEN 1.96 X 1.60</t>
  </si>
  <si>
    <t>1 PREMIUM BISQUE 3.94 X 2.50</t>
  </si>
  <si>
    <t>1 MOTOR 35 U06</t>
  </si>
  <si>
    <t>1 PREMIUM BISQUE 2.45 X 1.55</t>
  </si>
  <si>
    <t>0-004-87-22098</t>
  </si>
  <si>
    <t xml:space="preserve">VX Screen 3000-3 White Linen 98.43"   </t>
  </si>
  <si>
    <t>0-004-87-22018</t>
  </si>
  <si>
    <t xml:space="preserve">Solar Screen 3000-3 White Linen 118"   </t>
  </si>
  <si>
    <t xml:space="preserve">Rollux Premium Plus Blackout FR Beige 118.11"        </t>
  </si>
  <si>
    <t>0-154-TU-63001</t>
  </si>
  <si>
    <t xml:space="preserve">2½" Struct.Alu.Tube w/Rec.&amp;Flat Chan.Custom Tape,19' MF   </t>
  </si>
  <si>
    <t xml:space="preserve">Rollux-Al. Bottomrail Classic Ivory 19'          </t>
  </si>
  <si>
    <t>0-154-AD-RA250</t>
  </si>
  <si>
    <t>6-700-AS-35050</t>
  </si>
  <si>
    <t>6-800-MM-35U06</t>
  </si>
  <si>
    <t>6-800-AT-P0U06</t>
  </si>
  <si>
    <t>0-154-PB-E05WH</t>
  </si>
  <si>
    <t>0-154-PB-EO60W</t>
  </si>
  <si>
    <t>6-700-AD-45063</t>
  </si>
  <si>
    <t>0-151-CA-001IV</t>
  </si>
  <si>
    <t xml:space="preserve">Rollux-End Plug Adapter for 2"(50mm) Tube, White </t>
  </si>
  <si>
    <t xml:space="preserve">Celtic II Crown &amp; Drive (50mm) for  "A" Shaft Motors        </t>
  </si>
  <si>
    <t>Vti RE-LIONCelticUnidi.ACMech.Lim.Mot.35mm/6Nm/33rpm/110A</t>
  </si>
  <si>
    <t xml:space="preserve">POINT Celtic Remote 6CH LED Unidirectional     </t>
  </si>
  <si>
    <t xml:space="preserve">EURO Large Bracket HM 2 3/8" (60mm) Proj. White </t>
  </si>
  <si>
    <t>Drive for 35mm &amp; 45mm "A" Shaft Motors and 63mm &amp; 83mm Tube</t>
  </si>
  <si>
    <t>6-700-AS-45063</t>
  </si>
  <si>
    <t xml:space="preserve">Crown for 45 mm (1 ¾") Motors and 63 mm (2 ½") Tube     </t>
  </si>
  <si>
    <t xml:space="preserve">Elegant Clutch VTX 20 - Tab Mount - 1 1/2" (38mm) - Ivory </t>
  </si>
  <si>
    <t xml:space="preserve">Small Cord/Chain Weight Pulley - White (Export Only)    </t>
  </si>
  <si>
    <t xml:space="preserve">Small Cord/Chain Weight Pulley - Ivory (Export Only)       </t>
  </si>
  <si>
    <t>0-154-PS-ES0R3</t>
  </si>
  <si>
    <t xml:space="preserve">EURO Idler End Support Right Set for Med/Large Bracket Whi </t>
  </si>
  <si>
    <t xml:space="preserve">O Large Bracket with Motor Block 2 3/8"(60mm) Proj.White    </t>
  </si>
  <si>
    <t xml:space="preserve">ANTONIA </t>
  </si>
  <si>
    <t>MARIA</t>
  </si>
  <si>
    <t>CABALLERO</t>
  </si>
  <si>
    <t>1 VX 3 % 1.38 X 1.60</t>
  </si>
  <si>
    <t>1 VX 3 % 2.45 X 1.60</t>
  </si>
  <si>
    <t>1 VX 3 % 1.27 X 1.60</t>
  </si>
  <si>
    <t>1 PREMIUM 2.45 X 1.55</t>
  </si>
  <si>
    <t>Los materiales para estas cortinas van listados en la orden anterior del señor Siman Dada.</t>
  </si>
  <si>
    <t>EDGARDO CONTRERAS</t>
  </si>
  <si>
    <t>1 MADERA FROST WHITE 2.20 X 1.39</t>
  </si>
  <si>
    <t>0.098-CA-001AL</t>
  </si>
  <si>
    <t xml:space="preserve">1/4"SQ.TiltRod 2"Syst. (50pcx16') Aluminum Mill Finish  </t>
  </si>
  <si>
    <t xml:space="preserve">Louverwood-2" Basswood Slat Frost White 9 FT      </t>
  </si>
  <si>
    <t>0-098-W9-713BS</t>
  </si>
  <si>
    <t>0-098-W9-713BV</t>
  </si>
  <si>
    <t>0-098-W9-713BR</t>
  </si>
  <si>
    <t xml:space="preserve">Louverwood-2" Basswood Val Frost White 9 FT  </t>
  </si>
  <si>
    <t xml:space="preserve">Louverwood-2" Basswood Brail Frost White 9 FT      </t>
  </si>
  <si>
    <t>0-074-50-112HR</t>
  </si>
  <si>
    <t xml:space="preserve">Louverlux-2" Headrail Alabaster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</si>
</sst>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0" fillId="0" borderId="1" xfId="0" applyBorder="1"/>
    <xf numFmtId="14" fontId="0" fillId="0" borderId="2" xfId="0" applyNumberForma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9" fontId="0" fillId="0" borderId="8" xfId="1" applyFont="1" applyBorder="1"/>
    <xf numFmtId="14" fontId="0" fillId="0" borderId="0" xfId="0" applyNumberFormat="1"/>
    <xf numFmtId="0" fontId="0" fillId="2" borderId="4" xfId="0" applyFill="1" applyBorder="1"/>
    <xf numFmtId="0" fontId="0" fillId="0" borderId="4" xfId="0" applyFill="1" applyBorder="1"/>
    <xf numFmtId="14" fontId="0" fillId="0" borderId="0" xfId="0" applyNumberFormat="1" applyBorder="1"/>
    <xf numFmtId="0" fontId="0" fillId="0" borderId="0" xfId="0" applyBorder="1"/>
    <xf numFmtId="0" fontId="0" fillId="0" borderId="6" xfId="0" applyFill="1" applyBorder="1"/>
    <xf numFmtId="0" fontId="0" fillId="0" borderId="0" xfId="0" applyFill="1"/>
    <xf numFmtId="0" fontId="0" fillId="2" borderId="0" xfId="0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3FA5C-6595-4B5C-8D61-3CBF07CBB28E}">
  <dimension ref="A1:F578"/>
  <sheetViews>
    <sheetView tabSelected="1" topLeftCell="A4" zoomScale="69" zoomScaleNormal="69" workbookViewId="0">
      <selection activeCell="C8" sqref="C8"/>
    </sheetView>
  </sheetViews>
  <sheetFormatPr defaultColWidth="11.19921875" defaultRowHeight="13.8"/>
  <cols>
    <col min="1" max="1" width="24.09765625" bestFit="1" customWidth="1"/>
    <col min="2" max="2" width="55.69921875" bestFit="1" customWidth="1"/>
    <col min="3" max="3" width="16.3984375" bestFit="1" customWidth="1"/>
    <col min="4" max="4" width="15.296875" bestFit="1" customWidth="1"/>
    <col min="5" max="5" width="19.3984375" bestFit="1" customWidth="1"/>
  </cols>
  <sheetData>
    <row r="1" spans="1:6" ht="15">
      <c r="A1" t="s">
        <v>0</v>
      </c>
    </row>
    <row r="3" spans="1:6" ht="15.75" thickBot="1"/>
    <row r="4" spans="1:6" ht="15">
      <c r="A4" s="1" t="s">
        <v>1</v>
      </c>
      <c r="B4" s="2">
        <v>46125</v>
      </c>
      <c r="C4" s="3"/>
      <c r="D4" s="3"/>
      <c r="E4" s="3"/>
      <c r="F4" s="4"/>
    </row>
    <row r="5" spans="1:6" ht="15">
      <c r="A5" s="5" t="s">
        <v>2</v>
      </c>
      <c r="B5" t="s">
        <v>20</v>
      </c>
      <c r="F5" s="6"/>
    </row>
    <row r="6" spans="1:6" ht="15">
      <c r="A6" s="5"/>
      <c r="B6" t="s">
        <v>21</v>
      </c>
      <c r="F6" s="6"/>
    </row>
    <row r="7" spans="1:6" ht="15">
      <c r="A7" s="5" t="s">
        <v>3</v>
      </c>
      <c r="B7" t="s">
        <v>12</v>
      </c>
      <c r="C7" t="s">
        <v>11</v>
      </c>
      <c r="D7" t="s">
        <v>22</v>
      </c>
      <c r="E7" t="s">
        <v>25</v>
      </c>
      <c r="F7" s="6"/>
    </row>
    <row r="8" spans="1:6" ht="15">
      <c r="A8" s="11" t="s">
        <v>4</v>
      </c>
      <c r="B8" s="17" t="s">
        <v>13</v>
      </c>
      <c r="C8" s="17">
        <v>13.9</v>
      </c>
      <c r="D8" s="17">
        <v>3.77</v>
      </c>
      <c r="E8" s="17">
        <f>+D8*C8</f>
        <v>52.402999999999999</v>
      </c>
      <c r="F8" s="6"/>
    </row>
    <row r="9" spans="1:6" ht="15">
      <c r="A9" s="11" t="s">
        <v>5</v>
      </c>
      <c r="B9" s="17" t="s">
        <v>14</v>
      </c>
      <c r="C9" s="17">
        <v>19</v>
      </c>
      <c r="D9" s="17">
        <v>0.81799999999999995</v>
      </c>
      <c r="E9" s="17">
        <f t="shared" ref="E9:E15" si="0">+D9*C9</f>
        <v>15.542</v>
      </c>
      <c r="F9" s="6"/>
    </row>
    <row r="10" spans="1:6">
      <c r="A10" s="11" t="s">
        <v>23</v>
      </c>
      <c r="B10" s="17" t="s">
        <v>24</v>
      </c>
      <c r="C10" s="17">
        <v>19</v>
      </c>
      <c r="D10" s="17">
        <v>0.55400000000000005</v>
      </c>
      <c r="E10" s="17">
        <f t="shared" si="0"/>
        <v>10.526000000000002</v>
      </c>
      <c r="F10" s="6"/>
    </row>
    <row r="11" spans="1:6" ht="15">
      <c r="A11" s="11" t="s">
        <v>6</v>
      </c>
      <c r="B11" s="17" t="s">
        <v>15</v>
      </c>
      <c r="C11" s="17">
        <v>3</v>
      </c>
      <c r="D11" s="17">
        <v>0.67200000000000004</v>
      </c>
      <c r="E11" s="17">
        <f t="shared" si="0"/>
        <v>2.016</v>
      </c>
      <c r="F11" s="6"/>
    </row>
    <row r="12" spans="1:6" ht="15">
      <c r="A12" s="11" t="s">
        <v>7</v>
      </c>
      <c r="B12" s="17" t="s">
        <v>16</v>
      </c>
      <c r="C12" s="17">
        <v>3</v>
      </c>
      <c r="D12" s="17">
        <v>0.72199999999999998</v>
      </c>
      <c r="E12" s="17">
        <f t="shared" si="0"/>
        <v>2.1659999999999999</v>
      </c>
      <c r="F12" s="6"/>
    </row>
    <row r="13" spans="1:6">
      <c r="A13" s="11" t="s">
        <v>8</v>
      </c>
      <c r="B13" s="17" t="s">
        <v>17</v>
      </c>
      <c r="C13" s="17">
        <v>3</v>
      </c>
      <c r="D13" s="17">
        <v>0.43</v>
      </c>
      <c r="E13" s="17">
        <f t="shared" si="0"/>
        <v>1.29</v>
      </c>
      <c r="F13" s="6"/>
    </row>
    <row r="14" spans="1:6" ht="15">
      <c r="A14" s="11" t="s">
        <v>9</v>
      </c>
      <c r="B14" s="17" t="s">
        <v>18</v>
      </c>
      <c r="C14" s="17">
        <v>3</v>
      </c>
      <c r="D14" s="17">
        <v>2.63</v>
      </c>
      <c r="E14" s="17">
        <f t="shared" si="0"/>
        <v>7.89</v>
      </c>
      <c r="F14" s="6"/>
    </row>
    <row r="15" spans="1:6" ht="15">
      <c r="A15" s="11" t="s">
        <v>10</v>
      </c>
      <c r="B15" s="17" t="s">
        <v>19</v>
      </c>
      <c r="C15" s="17">
        <v>3</v>
      </c>
      <c r="D15" s="17">
        <v>0.59</v>
      </c>
      <c r="E15" s="17">
        <f t="shared" si="0"/>
        <v>1.77</v>
      </c>
      <c r="F15" s="6"/>
    </row>
    <row r="16" spans="1:6" ht="15">
      <c r="A16" s="11"/>
      <c r="B16" s="17"/>
      <c r="C16" s="17"/>
      <c r="D16" s="17"/>
      <c r="E16" s="17"/>
      <c r="F16" s="6"/>
    </row>
    <row r="17" spans="1:6" ht="15">
      <c r="A17" s="5"/>
      <c r="D17" t="s">
        <v>26</v>
      </c>
      <c r="E17">
        <f>SUM(E8:E16)</f>
        <v>93.602999999999994</v>
      </c>
      <c r="F17" s="6">
        <f>+E17/E18</f>
        <v>0.42427250475931461</v>
      </c>
    </row>
    <row r="18" spans="1:6" ht="15">
      <c r="A18" s="5"/>
      <c r="D18" t="s">
        <v>27</v>
      </c>
      <c r="E18">
        <v>220.62</v>
      </c>
      <c r="F18" s="6"/>
    </row>
    <row r="19" spans="1:6" ht="15.75" thickBot="1">
      <c r="A19" s="7"/>
      <c r="B19" s="8"/>
      <c r="C19" s="8"/>
      <c r="D19" s="8" t="s">
        <v>28</v>
      </c>
      <c r="E19" s="8">
        <f>+E18-E17</f>
        <v>127.01700000000001</v>
      </c>
      <c r="F19" s="9"/>
    </row>
    <row r="20" spans="1:6" ht="15.75" thickBot="1"/>
    <row r="21" spans="1:6" ht="15">
      <c r="A21" s="1" t="s">
        <v>29</v>
      </c>
      <c r="B21" s="2">
        <v>46125</v>
      </c>
      <c r="C21" s="3"/>
      <c r="D21" s="3"/>
      <c r="E21" s="3"/>
      <c r="F21" s="4"/>
    </row>
    <row r="22" spans="1:6" ht="15">
      <c r="A22" s="5" t="s">
        <v>30</v>
      </c>
      <c r="B22" t="s">
        <v>32</v>
      </c>
      <c r="F22" s="6"/>
    </row>
    <row r="23" spans="1:6" ht="15">
      <c r="A23" s="5" t="s">
        <v>123</v>
      </c>
      <c r="B23" t="s">
        <v>31</v>
      </c>
      <c r="F23" s="6"/>
    </row>
    <row r="24" spans="1:6" ht="15">
      <c r="A24" s="5" t="s">
        <v>3</v>
      </c>
      <c r="B24" t="s">
        <v>12</v>
      </c>
      <c r="C24" t="s">
        <v>11</v>
      </c>
      <c r="D24" t="s">
        <v>22</v>
      </c>
      <c r="E24" t="s">
        <v>25</v>
      </c>
      <c r="F24" s="6"/>
    </row>
    <row r="25" spans="1:6" ht="15">
      <c r="A25" s="5" t="s">
        <v>33</v>
      </c>
      <c r="B25" t="s">
        <v>34</v>
      </c>
      <c r="C25">
        <v>4</v>
      </c>
      <c r="D25">
        <v>2.59</v>
      </c>
      <c r="E25">
        <f t="shared" ref="E25:E32" si="1">+D25*C25</f>
        <v>10.36</v>
      </c>
      <c r="F25" s="6"/>
    </row>
    <row r="26" spans="1:6" ht="15">
      <c r="A26" s="5"/>
      <c r="F26" s="6"/>
    </row>
    <row r="27" spans="1:6" ht="15">
      <c r="A27" s="5" t="s">
        <v>35</v>
      </c>
      <c r="B27" t="s">
        <v>36</v>
      </c>
      <c r="C27">
        <v>4</v>
      </c>
      <c r="D27">
        <v>0.56999999999999995</v>
      </c>
      <c r="E27">
        <f t="shared" si="1"/>
        <v>2.2799999999999998</v>
      </c>
      <c r="F27" s="6"/>
    </row>
    <row r="28" spans="1:6" ht="15">
      <c r="A28" s="5" t="s">
        <v>6</v>
      </c>
      <c r="B28" t="s">
        <v>15</v>
      </c>
      <c r="C28">
        <v>5</v>
      </c>
      <c r="D28">
        <v>0.67200000000000004</v>
      </c>
      <c r="E28">
        <f t="shared" si="1"/>
        <v>3.3600000000000003</v>
      </c>
      <c r="F28" s="6"/>
    </row>
    <row r="29" spans="1:6" ht="15">
      <c r="A29" s="5" t="s">
        <v>7</v>
      </c>
      <c r="B29" t="s">
        <v>16</v>
      </c>
      <c r="C29">
        <v>5</v>
      </c>
      <c r="D29">
        <v>0.72199999999999998</v>
      </c>
      <c r="E29">
        <f t="shared" si="1"/>
        <v>3.61</v>
      </c>
      <c r="F29" s="6"/>
    </row>
    <row r="30" spans="1:6">
      <c r="A30" s="5" t="s">
        <v>8</v>
      </c>
      <c r="B30" t="s">
        <v>17</v>
      </c>
      <c r="C30">
        <v>5</v>
      </c>
      <c r="D30">
        <v>0.43</v>
      </c>
      <c r="E30">
        <f t="shared" si="1"/>
        <v>2.15</v>
      </c>
      <c r="F30" s="6"/>
    </row>
    <row r="31" spans="1:6" ht="15">
      <c r="A31" s="5" t="s">
        <v>9</v>
      </c>
      <c r="B31" t="s">
        <v>18</v>
      </c>
      <c r="C31">
        <v>1</v>
      </c>
      <c r="D31">
        <v>2.63</v>
      </c>
      <c r="E31">
        <f t="shared" si="1"/>
        <v>2.63</v>
      </c>
      <c r="F31" s="6"/>
    </row>
    <row r="32" spans="1:6" ht="15">
      <c r="A32" s="5" t="s">
        <v>10</v>
      </c>
      <c r="B32" t="s">
        <v>19</v>
      </c>
      <c r="C32">
        <v>1</v>
      </c>
      <c r="D32">
        <v>0.59</v>
      </c>
      <c r="E32">
        <f t="shared" si="1"/>
        <v>0.59</v>
      </c>
      <c r="F32" s="6"/>
    </row>
    <row r="33" spans="1:6" ht="15">
      <c r="A33" s="5"/>
      <c r="F33" s="6"/>
    </row>
    <row r="34" spans="1:6" ht="15">
      <c r="A34" s="5"/>
      <c r="B34" t="s">
        <v>37</v>
      </c>
      <c r="D34" t="s">
        <v>26</v>
      </c>
      <c r="E34">
        <f>SUM(E25:E33)</f>
        <v>24.979999999999997</v>
      </c>
      <c r="F34" s="6"/>
    </row>
    <row r="35" spans="1:6" ht="15">
      <c r="A35" s="5"/>
      <c r="D35" t="s">
        <v>27</v>
      </c>
      <c r="E35">
        <v>317.60000000000002</v>
      </c>
      <c r="F35" s="6"/>
    </row>
    <row r="36" spans="1:6" ht="15.75" thickBot="1">
      <c r="A36" s="7"/>
      <c r="B36" s="8"/>
      <c r="C36" s="8"/>
      <c r="D36" s="8" t="s">
        <v>28</v>
      </c>
      <c r="E36" s="8">
        <f>+E35-E34</f>
        <v>292.62</v>
      </c>
      <c r="F36" s="9"/>
    </row>
    <row r="37" spans="1:6" ht="15.75" thickBot="1"/>
    <row r="38" spans="1:6" ht="15">
      <c r="A38" s="1" t="s">
        <v>29</v>
      </c>
      <c r="B38" s="2">
        <v>46127</v>
      </c>
      <c r="C38" s="3"/>
      <c r="D38" s="3"/>
      <c r="E38" s="3"/>
      <c r="F38" s="4"/>
    </row>
    <row r="39" spans="1:6" ht="15">
      <c r="A39" s="5"/>
      <c r="B39" s="10" t="s">
        <v>39</v>
      </c>
      <c r="F39" s="6"/>
    </row>
    <row r="40" spans="1:6" ht="15">
      <c r="A40" s="5" t="s">
        <v>38</v>
      </c>
      <c r="B40" t="s">
        <v>40</v>
      </c>
      <c r="F40" s="6"/>
    </row>
    <row r="41" spans="1:6" ht="15">
      <c r="A41" s="5" t="s">
        <v>124</v>
      </c>
      <c r="B41" t="s">
        <v>41</v>
      </c>
      <c r="F41" s="6"/>
    </row>
    <row r="42" spans="1:6" ht="15">
      <c r="A42" s="5" t="s">
        <v>3</v>
      </c>
      <c r="B42" t="s">
        <v>12</v>
      </c>
      <c r="C42" t="s">
        <v>11</v>
      </c>
      <c r="D42" t="s">
        <v>22</v>
      </c>
      <c r="E42" t="s">
        <v>25</v>
      </c>
      <c r="F42" s="6"/>
    </row>
    <row r="43" spans="1:6" ht="15">
      <c r="A43" s="5"/>
      <c r="F43" s="6"/>
    </row>
    <row r="44" spans="1:6" ht="15">
      <c r="A44" s="5" t="s">
        <v>42</v>
      </c>
      <c r="B44" t="s">
        <v>43</v>
      </c>
      <c r="C44">
        <v>20.55</v>
      </c>
      <c r="D44">
        <v>3.11</v>
      </c>
      <c r="E44">
        <f t="shared" ref="E44:E51" si="2">+D44*C44</f>
        <v>63.910499999999999</v>
      </c>
      <c r="F44" s="6"/>
    </row>
    <row r="45" spans="1:6" ht="15">
      <c r="A45" s="5" t="s">
        <v>5</v>
      </c>
      <c r="B45" t="s">
        <v>14</v>
      </c>
      <c r="C45">
        <v>19</v>
      </c>
      <c r="D45">
        <v>0.81799999999999995</v>
      </c>
      <c r="E45">
        <f t="shared" si="2"/>
        <v>15.542</v>
      </c>
      <c r="F45" s="6"/>
    </row>
    <row r="46" spans="1:6">
      <c r="A46" s="5" t="s">
        <v>23</v>
      </c>
      <c r="B46" t="s">
        <v>24</v>
      </c>
      <c r="C46">
        <v>19</v>
      </c>
      <c r="D46">
        <v>0.55400000000000005</v>
      </c>
      <c r="E46">
        <f t="shared" si="2"/>
        <v>10.526000000000002</v>
      </c>
      <c r="F46" s="6"/>
    </row>
    <row r="47" spans="1:6" ht="15">
      <c r="A47" s="5" t="s">
        <v>6</v>
      </c>
      <c r="B47" t="s">
        <v>15</v>
      </c>
      <c r="C47">
        <v>3</v>
      </c>
      <c r="D47">
        <v>0.67200000000000004</v>
      </c>
      <c r="E47">
        <f t="shared" si="2"/>
        <v>2.016</v>
      </c>
      <c r="F47" s="6"/>
    </row>
    <row r="48" spans="1:6" ht="15">
      <c r="A48" s="5" t="s">
        <v>7</v>
      </c>
      <c r="B48" t="s">
        <v>16</v>
      </c>
      <c r="C48">
        <v>3</v>
      </c>
      <c r="D48">
        <v>0.72199999999999998</v>
      </c>
      <c r="E48">
        <f t="shared" si="2"/>
        <v>2.1659999999999999</v>
      </c>
      <c r="F48" s="6"/>
    </row>
    <row r="49" spans="1:6">
      <c r="A49" s="5" t="s">
        <v>8</v>
      </c>
      <c r="B49" t="s">
        <v>17</v>
      </c>
      <c r="C49">
        <v>3</v>
      </c>
      <c r="D49">
        <v>0.43</v>
      </c>
      <c r="E49">
        <f t="shared" si="2"/>
        <v>1.29</v>
      </c>
      <c r="F49" s="6"/>
    </row>
    <row r="50" spans="1:6" ht="15">
      <c r="A50" s="5" t="s">
        <v>9</v>
      </c>
      <c r="B50" t="s">
        <v>18</v>
      </c>
      <c r="C50">
        <v>3</v>
      </c>
      <c r="D50">
        <v>2.63</v>
      </c>
      <c r="E50">
        <f t="shared" si="2"/>
        <v>7.89</v>
      </c>
      <c r="F50" s="6"/>
    </row>
    <row r="51" spans="1:6" ht="15">
      <c r="A51" s="5" t="s">
        <v>44</v>
      </c>
      <c r="B51" t="s">
        <v>45</v>
      </c>
      <c r="C51">
        <v>3</v>
      </c>
      <c r="D51">
        <v>0.56999999999999995</v>
      </c>
      <c r="E51">
        <f t="shared" si="2"/>
        <v>1.71</v>
      </c>
      <c r="F51" s="6"/>
    </row>
    <row r="52" spans="1:6" ht="15">
      <c r="A52" s="5"/>
      <c r="B52" t="s">
        <v>37</v>
      </c>
      <c r="D52" t="s">
        <v>26</v>
      </c>
      <c r="E52">
        <f>SUM(E43:E51)</f>
        <v>105.0505</v>
      </c>
      <c r="F52" s="6"/>
    </row>
    <row r="53" spans="1:6" ht="15">
      <c r="A53" s="5"/>
      <c r="D53" t="s">
        <v>27</v>
      </c>
      <c r="E53">
        <v>425.49</v>
      </c>
      <c r="F53" s="6"/>
    </row>
    <row r="54" spans="1:6" ht="15.75" thickBot="1">
      <c r="A54" s="7"/>
      <c r="B54" s="8"/>
      <c r="C54" s="8"/>
      <c r="D54" s="8" t="s">
        <v>28</v>
      </c>
      <c r="E54" s="8">
        <f>+E53-E52</f>
        <v>320.43950000000001</v>
      </c>
      <c r="F54" s="9"/>
    </row>
    <row r="55" spans="1:6" ht="15.75" thickBot="1"/>
    <row r="56" spans="1:6" ht="15">
      <c r="A56" s="1" t="s">
        <v>29</v>
      </c>
      <c r="B56" s="2">
        <v>46128</v>
      </c>
      <c r="C56" s="3"/>
      <c r="D56" s="3"/>
      <c r="E56" s="3"/>
      <c r="F56" s="4"/>
    </row>
    <row r="57" spans="1:6" ht="15">
      <c r="A57" s="5"/>
      <c r="B57" s="10" t="s">
        <v>46</v>
      </c>
      <c r="F57" s="6"/>
    </row>
    <row r="58" spans="1:6" ht="15">
      <c r="A58" s="5" t="s">
        <v>38</v>
      </c>
      <c r="B58" t="s">
        <v>47</v>
      </c>
      <c r="F58" s="6"/>
    </row>
    <row r="59" spans="1:6" ht="15">
      <c r="A59" s="5" t="s">
        <v>125</v>
      </c>
      <c r="B59" t="s">
        <v>48</v>
      </c>
      <c r="F59" s="6"/>
    </row>
    <row r="60" spans="1:6" ht="15">
      <c r="A60" s="5" t="s">
        <v>3</v>
      </c>
      <c r="B60" t="s">
        <v>12</v>
      </c>
      <c r="C60" t="s">
        <v>11</v>
      </c>
      <c r="D60" t="s">
        <v>22</v>
      </c>
      <c r="E60" t="s">
        <v>25</v>
      </c>
      <c r="F60" s="6"/>
    </row>
    <row r="61" spans="1:6" ht="15">
      <c r="A61" s="5"/>
      <c r="F61" s="6"/>
    </row>
    <row r="62" spans="1:6" ht="15">
      <c r="A62" s="5" t="s">
        <v>50</v>
      </c>
      <c r="B62" t="s">
        <v>49</v>
      </c>
      <c r="C62">
        <v>19</v>
      </c>
      <c r="D62">
        <v>5.79</v>
      </c>
      <c r="E62">
        <f t="shared" ref="E62:E72" si="3">+D62*C62</f>
        <v>110.01</v>
      </c>
      <c r="F62" s="6"/>
    </row>
    <row r="63" spans="1:6" ht="15">
      <c r="A63" s="5" t="s">
        <v>51</v>
      </c>
      <c r="B63" t="s">
        <v>56</v>
      </c>
      <c r="C63">
        <v>19</v>
      </c>
      <c r="D63">
        <v>2.42</v>
      </c>
      <c r="E63">
        <f t="shared" si="3"/>
        <v>45.98</v>
      </c>
      <c r="F63" s="6"/>
    </row>
    <row r="64" spans="1:6" ht="15">
      <c r="A64" s="5" t="s">
        <v>52</v>
      </c>
      <c r="B64" t="s">
        <v>58</v>
      </c>
      <c r="C64">
        <v>19</v>
      </c>
      <c r="D64">
        <v>1.17</v>
      </c>
      <c r="E64">
        <f t="shared" si="3"/>
        <v>22.229999999999997</v>
      </c>
      <c r="F64" s="6"/>
    </row>
    <row r="65" spans="1:6" ht="15">
      <c r="A65" s="5" t="s">
        <v>60</v>
      </c>
      <c r="B65" t="s">
        <v>59</v>
      </c>
      <c r="C65">
        <v>6</v>
      </c>
      <c r="D65">
        <v>0.38</v>
      </c>
      <c r="E65">
        <f t="shared" si="3"/>
        <v>2.2800000000000002</v>
      </c>
      <c r="F65" s="6"/>
    </row>
    <row r="66" spans="1:6" ht="15">
      <c r="A66" s="5" t="s">
        <v>53</v>
      </c>
      <c r="B66" t="s">
        <v>61</v>
      </c>
      <c r="C66">
        <v>8</v>
      </c>
      <c r="D66">
        <v>0.44</v>
      </c>
      <c r="E66">
        <f t="shared" si="3"/>
        <v>3.52</v>
      </c>
      <c r="F66" s="6"/>
    </row>
    <row r="67" spans="1:6">
      <c r="A67" s="5" t="s">
        <v>23</v>
      </c>
      <c r="B67" s="5" t="s">
        <v>62</v>
      </c>
      <c r="C67">
        <v>19</v>
      </c>
      <c r="D67">
        <v>0.55000000000000004</v>
      </c>
      <c r="E67">
        <f t="shared" si="3"/>
        <v>10.450000000000001</v>
      </c>
      <c r="F67" s="6"/>
    </row>
    <row r="68" spans="1:6" ht="15">
      <c r="A68" s="5" t="s">
        <v>54</v>
      </c>
      <c r="B68" t="s">
        <v>63</v>
      </c>
      <c r="C68">
        <v>19</v>
      </c>
      <c r="D68">
        <v>1.25</v>
      </c>
      <c r="E68">
        <f t="shared" si="3"/>
        <v>23.75</v>
      </c>
      <c r="F68" s="6"/>
    </row>
    <row r="69" spans="1:6" ht="15">
      <c r="A69" s="5" t="s">
        <v>55</v>
      </c>
      <c r="B69" t="s">
        <v>64</v>
      </c>
      <c r="C69">
        <v>3</v>
      </c>
      <c r="D69">
        <v>2.62</v>
      </c>
      <c r="E69">
        <f t="shared" si="3"/>
        <v>7.86</v>
      </c>
      <c r="F69" s="6"/>
    </row>
    <row r="70" spans="1:6" ht="15">
      <c r="A70" s="5" t="s">
        <v>57</v>
      </c>
      <c r="B70" t="s">
        <v>65</v>
      </c>
      <c r="C70">
        <v>3</v>
      </c>
      <c r="D70">
        <v>0.27</v>
      </c>
      <c r="E70">
        <f t="shared" si="3"/>
        <v>0.81</v>
      </c>
      <c r="F70" s="6"/>
    </row>
    <row r="71" spans="1:6" ht="15">
      <c r="A71" s="5" t="s">
        <v>66</v>
      </c>
      <c r="B71" t="s">
        <v>67</v>
      </c>
      <c r="C71">
        <v>3</v>
      </c>
      <c r="D71">
        <v>0.57999999999999996</v>
      </c>
      <c r="E71">
        <f t="shared" si="3"/>
        <v>1.7399999999999998</v>
      </c>
      <c r="F71" s="6"/>
    </row>
    <row r="72" spans="1:6" ht="15">
      <c r="A72" s="5" t="s">
        <v>68</v>
      </c>
      <c r="B72" t="s">
        <v>69</v>
      </c>
      <c r="C72">
        <v>6</v>
      </c>
      <c r="D72">
        <v>0.56000000000000005</v>
      </c>
      <c r="E72">
        <f t="shared" si="3"/>
        <v>3.3600000000000003</v>
      </c>
      <c r="F72" s="6"/>
    </row>
    <row r="73" spans="1:6" ht="15">
      <c r="A73" s="5"/>
      <c r="D73" t="s">
        <v>26</v>
      </c>
      <c r="E73">
        <f>SUM(E62:E72)</f>
        <v>231.99000000000004</v>
      </c>
      <c r="F73" s="6"/>
    </row>
    <row r="74" spans="1:6" ht="15">
      <c r="A74" s="5"/>
      <c r="D74" t="s">
        <v>27</v>
      </c>
      <c r="E74">
        <v>458.85</v>
      </c>
      <c r="F74" s="6"/>
    </row>
    <row r="75" spans="1:6" ht="15">
      <c r="A75" s="5"/>
      <c r="D75" t="s">
        <v>28</v>
      </c>
      <c r="E75">
        <f>+E74-E73</f>
        <v>226.85999999999999</v>
      </c>
      <c r="F75" s="6"/>
    </row>
    <row r="76" spans="1:6" ht="15.75" thickBot="1">
      <c r="A76" s="7"/>
      <c r="B76" s="8"/>
      <c r="C76" s="8"/>
      <c r="D76" s="8"/>
      <c r="E76" s="8"/>
      <c r="F76" s="9"/>
    </row>
    <row r="77" spans="1:6" ht="15.75" thickBot="1"/>
    <row r="78" spans="1:6" ht="15">
      <c r="A78" s="1" t="s">
        <v>29</v>
      </c>
      <c r="B78" s="2">
        <v>46128</v>
      </c>
      <c r="C78" s="3"/>
      <c r="D78" s="3"/>
      <c r="E78" s="3"/>
      <c r="F78" s="4"/>
    </row>
    <row r="79" spans="1:6" ht="15">
      <c r="A79" s="5"/>
      <c r="B79" s="10" t="s">
        <v>71</v>
      </c>
      <c r="F79" s="6"/>
    </row>
    <row r="80" spans="1:6" ht="15">
      <c r="A80" s="5" t="s">
        <v>70</v>
      </c>
      <c r="B80" t="s">
        <v>71</v>
      </c>
      <c r="F80" s="6"/>
    </row>
    <row r="81" spans="1:6" ht="15">
      <c r="A81" s="5" t="s">
        <v>126</v>
      </c>
      <c r="B81" t="s">
        <v>73</v>
      </c>
      <c r="F81" s="6"/>
    </row>
    <row r="82" spans="1:6" ht="15">
      <c r="A82" s="5"/>
      <c r="B82" t="s">
        <v>74</v>
      </c>
      <c r="F82" s="6"/>
    </row>
    <row r="83" spans="1:6" ht="15">
      <c r="A83" s="5" t="s">
        <v>3</v>
      </c>
      <c r="B83" t="s">
        <v>12</v>
      </c>
      <c r="C83" t="s">
        <v>11</v>
      </c>
      <c r="D83" t="s">
        <v>22</v>
      </c>
      <c r="E83" t="s">
        <v>25</v>
      </c>
      <c r="F83" s="6"/>
    </row>
    <row r="84" spans="1:6" ht="15">
      <c r="A84" s="5"/>
      <c r="F84" s="6"/>
    </row>
    <row r="85" spans="1:6" ht="15">
      <c r="A85" s="5" t="s">
        <v>72</v>
      </c>
      <c r="B85" t="s">
        <v>76</v>
      </c>
      <c r="F85" s="6"/>
    </row>
    <row r="86" spans="1:6" ht="15">
      <c r="A86" s="5" t="s">
        <v>75</v>
      </c>
      <c r="B86" t="s">
        <v>77</v>
      </c>
      <c r="F86" s="6"/>
    </row>
    <row r="87" spans="1:6" ht="15">
      <c r="A87" s="5" t="s">
        <v>5</v>
      </c>
      <c r="B87" t="s">
        <v>14</v>
      </c>
      <c r="C87">
        <v>19</v>
      </c>
      <c r="D87">
        <v>0.67</v>
      </c>
      <c r="E87">
        <f t="shared" ref="E87:E93" si="4">+D87*C87</f>
        <v>12.73</v>
      </c>
      <c r="F87" s="6"/>
    </row>
    <row r="88" spans="1:6">
      <c r="A88" s="5" t="s">
        <v>23</v>
      </c>
      <c r="B88" t="s">
        <v>24</v>
      </c>
      <c r="C88">
        <v>19</v>
      </c>
      <c r="D88">
        <v>0.55400000000000005</v>
      </c>
      <c r="E88">
        <f t="shared" si="4"/>
        <v>10.526000000000002</v>
      </c>
      <c r="F88" s="6"/>
    </row>
    <row r="89" spans="1:6" ht="15">
      <c r="A89" s="5" t="s">
        <v>6</v>
      </c>
      <c r="B89" t="s">
        <v>15</v>
      </c>
      <c r="C89">
        <v>4</v>
      </c>
      <c r="D89">
        <v>0.67200000000000004</v>
      </c>
      <c r="E89">
        <f t="shared" si="4"/>
        <v>2.6880000000000002</v>
      </c>
      <c r="F89" s="6"/>
    </row>
    <row r="90" spans="1:6" ht="15">
      <c r="A90" s="5" t="s">
        <v>7</v>
      </c>
      <c r="B90" t="s">
        <v>16</v>
      </c>
      <c r="C90">
        <v>4</v>
      </c>
      <c r="D90">
        <v>0.72199999999999998</v>
      </c>
      <c r="E90">
        <f t="shared" si="4"/>
        <v>2.8879999999999999</v>
      </c>
      <c r="F90" s="6"/>
    </row>
    <row r="91" spans="1:6">
      <c r="A91" s="5" t="s">
        <v>8</v>
      </c>
      <c r="B91" t="s">
        <v>17</v>
      </c>
      <c r="C91">
        <v>4</v>
      </c>
      <c r="D91">
        <v>0.43</v>
      </c>
      <c r="E91">
        <f t="shared" si="4"/>
        <v>1.72</v>
      </c>
      <c r="F91" s="6"/>
    </row>
    <row r="92" spans="1:6" ht="15">
      <c r="A92" s="5" t="s">
        <v>9</v>
      </c>
      <c r="B92" t="s">
        <v>18</v>
      </c>
      <c r="C92">
        <v>4</v>
      </c>
      <c r="D92">
        <v>2.63</v>
      </c>
      <c r="E92">
        <f t="shared" si="4"/>
        <v>10.52</v>
      </c>
      <c r="F92" s="6"/>
    </row>
    <row r="93" spans="1:6" ht="15">
      <c r="A93" s="5" t="s">
        <v>8</v>
      </c>
      <c r="B93" t="s">
        <v>19</v>
      </c>
      <c r="C93">
        <v>4</v>
      </c>
      <c r="D93">
        <v>0.59</v>
      </c>
      <c r="E93">
        <f t="shared" si="4"/>
        <v>2.36</v>
      </c>
      <c r="F93" s="6"/>
    </row>
    <row r="94" spans="1:6" ht="15">
      <c r="A94" s="5"/>
      <c r="F94" s="6"/>
    </row>
    <row r="95" spans="1:6" ht="15">
      <c r="A95" s="5"/>
      <c r="D95" t="s">
        <v>26</v>
      </c>
      <c r="E95">
        <f>SUM(E85:E94)</f>
        <v>43.432000000000002</v>
      </c>
      <c r="F95" s="6"/>
    </row>
    <row r="96" spans="1:6" ht="15">
      <c r="A96" s="5"/>
      <c r="D96" t="s">
        <v>27</v>
      </c>
      <c r="E96">
        <v>702.56</v>
      </c>
      <c r="F96" s="6"/>
    </row>
    <row r="97" spans="1:6" ht="15.75" thickBot="1">
      <c r="A97" s="7"/>
      <c r="B97" s="8"/>
      <c r="C97" s="8"/>
      <c r="D97" s="8" t="s">
        <v>28</v>
      </c>
      <c r="E97" s="8">
        <f>+E96-E95</f>
        <v>659.12799999999993</v>
      </c>
      <c r="F97" s="6"/>
    </row>
    <row r="98" spans="1:6" ht="15">
      <c r="A98" s="5"/>
      <c r="F98" s="6"/>
    </row>
    <row r="99" spans="1:6" ht="15">
      <c r="A99" s="5"/>
      <c r="F99" s="6"/>
    </row>
    <row r="100" spans="1:6" ht="15.75" thickBot="1">
      <c r="A100" s="7"/>
      <c r="B100" s="8"/>
      <c r="C100" s="8"/>
      <c r="D100" s="8"/>
      <c r="E100" s="8"/>
      <c r="F100" s="9"/>
    </row>
    <row r="101" spans="1:6" ht="15.75" thickBot="1"/>
    <row r="102" spans="1:6" ht="15">
      <c r="A102" s="1" t="s">
        <v>29</v>
      </c>
      <c r="B102" s="2">
        <v>46133</v>
      </c>
      <c r="C102" s="3"/>
      <c r="D102" s="3"/>
      <c r="E102" s="3"/>
      <c r="F102" s="4"/>
    </row>
    <row r="103" spans="1:6" ht="15">
      <c r="A103" s="5"/>
      <c r="B103" s="10" t="s">
        <v>79</v>
      </c>
      <c r="F103" s="6"/>
    </row>
    <row r="104" spans="1:6" ht="15">
      <c r="A104" s="5" t="s">
        <v>78</v>
      </c>
      <c r="F104" s="6"/>
    </row>
    <row r="105" spans="1:6" ht="15">
      <c r="A105" s="5" t="s">
        <v>127</v>
      </c>
      <c r="F105" s="6"/>
    </row>
    <row r="106" spans="1:6" ht="15">
      <c r="A106" s="5"/>
      <c r="F106" s="6"/>
    </row>
    <row r="107" spans="1:6" ht="15">
      <c r="A107" s="5" t="s">
        <v>3</v>
      </c>
      <c r="B107" t="s">
        <v>12</v>
      </c>
      <c r="C107" t="s">
        <v>11</v>
      </c>
      <c r="D107" t="s">
        <v>22</v>
      </c>
      <c r="E107" t="s">
        <v>25</v>
      </c>
      <c r="F107" s="6"/>
    </row>
    <row r="108" spans="1:6" ht="15">
      <c r="A108" s="5"/>
      <c r="F108" s="6"/>
    </row>
    <row r="109" spans="1:6" ht="15">
      <c r="A109" s="5"/>
      <c r="F109" s="6"/>
    </row>
    <row r="110" spans="1:6" ht="15">
      <c r="A110" s="5" t="s">
        <v>75</v>
      </c>
      <c r="B110" t="s">
        <v>77</v>
      </c>
      <c r="C110">
        <v>5</v>
      </c>
      <c r="D110">
        <v>3.54</v>
      </c>
      <c r="E110">
        <f t="shared" ref="E110:E117" si="5">+D110*C110</f>
        <v>17.7</v>
      </c>
      <c r="F110" s="6"/>
    </row>
    <row r="111" spans="1:6" ht="15">
      <c r="A111" s="5" t="s">
        <v>5</v>
      </c>
      <c r="B111" t="s">
        <v>14</v>
      </c>
      <c r="D111">
        <v>0.67</v>
      </c>
      <c r="E111">
        <f t="shared" si="5"/>
        <v>0</v>
      </c>
      <c r="F111" s="6"/>
    </row>
    <row r="112" spans="1:6">
      <c r="A112" s="5" t="s">
        <v>23</v>
      </c>
      <c r="B112" t="s">
        <v>24</v>
      </c>
      <c r="D112">
        <v>0.55400000000000005</v>
      </c>
      <c r="E112">
        <f t="shared" si="5"/>
        <v>0</v>
      </c>
      <c r="F112" s="6"/>
    </row>
    <row r="113" spans="1:6" ht="15">
      <c r="A113" s="5" t="s">
        <v>6</v>
      </c>
      <c r="B113" t="s">
        <v>15</v>
      </c>
      <c r="C113">
        <v>1</v>
      </c>
      <c r="D113">
        <v>0.67200000000000004</v>
      </c>
      <c r="E113">
        <f t="shared" si="5"/>
        <v>0.67200000000000004</v>
      </c>
      <c r="F113" s="6"/>
    </row>
    <row r="114" spans="1:6" ht="15">
      <c r="A114" s="5" t="s">
        <v>7</v>
      </c>
      <c r="B114" t="s">
        <v>16</v>
      </c>
      <c r="C114">
        <v>1</v>
      </c>
      <c r="D114">
        <v>0.72199999999999998</v>
      </c>
      <c r="E114">
        <f t="shared" si="5"/>
        <v>0.72199999999999998</v>
      </c>
      <c r="F114" s="6"/>
    </row>
    <row r="115" spans="1:6" ht="15">
      <c r="A115" s="5" t="s">
        <v>9</v>
      </c>
      <c r="B115" t="s">
        <v>18</v>
      </c>
      <c r="C115">
        <v>1</v>
      </c>
      <c r="D115">
        <v>2.63</v>
      </c>
      <c r="E115">
        <f t="shared" si="5"/>
        <v>2.63</v>
      </c>
      <c r="F115" s="6"/>
    </row>
    <row r="116" spans="1:6" ht="15">
      <c r="A116" s="5" t="s">
        <v>80</v>
      </c>
      <c r="B116" t="s">
        <v>81</v>
      </c>
      <c r="C116">
        <v>1</v>
      </c>
      <c r="D116">
        <v>0.59</v>
      </c>
      <c r="E116">
        <f t="shared" si="5"/>
        <v>0.59</v>
      </c>
      <c r="F116" s="6"/>
    </row>
    <row r="117" spans="1:6">
      <c r="A117" s="5" t="s">
        <v>8</v>
      </c>
      <c r="B117" t="s">
        <v>82</v>
      </c>
      <c r="C117">
        <v>1</v>
      </c>
      <c r="D117">
        <v>0.43</v>
      </c>
      <c r="E117">
        <f t="shared" si="5"/>
        <v>0.43</v>
      </c>
      <c r="F117" s="6"/>
    </row>
    <row r="118" spans="1:6" ht="15">
      <c r="A118" s="5"/>
      <c r="F118" s="6"/>
    </row>
    <row r="119" spans="1:6" ht="15">
      <c r="A119" s="5"/>
      <c r="D119" t="s">
        <v>26</v>
      </c>
      <c r="E119">
        <f>SUM(E110:E118)</f>
        <v>22.744</v>
      </c>
      <c r="F119" s="6"/>
    </row>
    <row r="120" spans="1:6" ht="15">
      <c r="A120" s="5"/>
      <c r="D120" t="s">
        <v>27</v>
      </c>
      <c r="E120">
        <v>84.48</v>
      </c>
      <c r="F120" s="6"/>
    </row>
    <row r="121" spans="1:6" ht="15.75" thickBot="1">
      <c r="A121" s="7"/>
      <c r="B121" s="8"/>
      <c r="C121" s="8"/>
      <c r="D121" s="8" t="s">
        <v>28</v>
      </c>
      <c r="E121" s="8">
        <f>+E120-E119</f>
        <v>61.736000000000004</v>
      </c>
      <c r="F121" s="6"/>
    </row>
    <row r="122" spans="1:6" ht="15.75" thickBot="1">
      <c r="A122" s="5"/>
      <c r="F122" s="6"/>
    </row>
    <row r="123" spans="1:6" ht="15">
      <c r="A123" s="1" t="s">
        <v>29</v>
      </c>
      <c r="B123" s="2">
        <v>46133</v>
      </c>
      <c r="C123" s="3"/>
      <c r="D123" s="3"/>
      <c r="E123" s="3"/>
      <c r="F123" s="4"/>
    </row>
    <row r="124" spans="1:6" ht="15">
      <c r="A124" s="5"/>
      <c r="B124" s="10" t="s">
        <v>83</v>
      </c>
      <c r="F124" s="6"/>
    </row>
    <row r="125" spans="1:6" ht="15">
      <c r="A125" s="5" t="s">
        <v>30</v>
      </c>
      <c r="F125" s="6"/>
    </row>
    <row r="126" spans="1:6" ht="15">
      <c r="A126" s="5" t="s">
        <v>128</v>
      </c>
      <c r="F126" s="6"/>
    </row>
    <row r="127" spans="1:6" ht="15">
      <c r="A127" s="5"/>
      <c r="F127" s="6"/>
    </row>
    <row r="128" spans="1:6" ht="15">
      <c r="A128" s="5" t="s">
        <v>3</v>
      </c>
      <c r="B128" t="s">
        <v>12</v>
      </c>
      <c r="C128" t="s">
        <v>11</v>
      </c>
      <c r="D128" t="s">
        <v>22</v>
      </c>
      <c r="E128" t="s">
        <v>25</v>
      </c>
      <c r="F128" s="6"/>
    </row>
    <row r="129" spans="1:6" ht="15">
      <c r="A129" s="5"/>
      <c r="F129" s="6"/>
    </row>
    <row r="130" spans="1:6" ht="15">
      <c r="A130" s="5"/>
      <c r="F130" s="6"/>
    </row>
    <row r="131" spans="1:6" ht="15">
      <c r="A131" s="5" t="s">
        <v>84</v>
      </c>
      <c r="B131" t="s">
        <v>87</v>
      </c>
      <c r="C131">
        <v>5.5</v>
      </c>
      <c r="D131">
        <v>3.86</v>
      </c>
      <c r="E131">
        <f t="shared" ref="E131:E138" si="6">+D131*C131</f>
        <v>21.23</v>
      </c>
      <c r="F131" s="6"/>
    </row>
    <row r="132" spans="1:6" ht="15">
      <c r="A132" s="5" t="s">
        <v>85</v>
      </c>
      <c r="B132" t="s">
        <v>14</v>
      </c>
      <c r="C132">
        <v>19</v>
      </c>
      <c r="D132">
        <v>0.67</v>
      </c>
      <c r="E132">
        <f t="shared" si="6"/>
        <v>12.73</v>
      </c>
      <c r="F132" s="6"/>
    </row>
    <row r="133" spans="1:6">
      <c r="A133" s="5" t="s">
        <v>23</v>
      </c>
      <c r="B133" t="s">
        <v>24</v>
      </c>
      <c r="C133">
        <v>19</v>
      </c>
      <c r="D133">
        <v>0.55400000000000005</v>
      </c>
      <c r="E133">
        <f t="shared" si="6"/>
        <v>10.526000000000002</v>
      </c>
      <c r="F133" s="6"/>
    </row>
    <row r="134" spans="1:6" ht="15">
      <c r="A134" s="5" t="s">
        <v>6</v>
      </c>
      <c r="B134" t="s">
        <v>15</v>
      </c>
      <c r="C134">
        <v>1</v>
      </c>
      <c r="D134">
        <v>0.67200000000000004</v>
      </c>
      <c r="E134">
        <f t="shared" si="6"/>
        <v>0.67200000000000004</v>
      </c>
      <c r="F134" s="6"/>
    </row>
    <row r="135" spans="1:6" ht="15">
      <c r="A135" s="5" t="s">
        <v>7</v>
      </c>
      <c r="B135" t="s">
        <v>16</v>
      </c>
      <c r="C135">
        <v>1</v>
      </c>
      <c r="D135">
        <v>0.72199999999999998</v>
      </c>
      <c r="E135">
        <f t="shared" si="6"/>
        <v>0.72199999999999998</v>
      </c>
      <c r="F135" s="6"/>
    </row>
    <row r="136" spans="1:6" ht="15">
      <c r="A136" s="5" t="s">
        <v>33</v>
      </c>
      <c r="B136" t="s">
        <v>18</v>
      </c>
      <c r="C136">
        <v>1</v>
      </c>
      <c r="D136">
        <v>2.63</v>
      </c>
      <c r="E136">
        <f t="shared" si="6"/>
        <v>2.63</v>
      </c>
      <c r="F136" s="6"/>
    </row>
    <row r="137" spans="1:6" ht="15">
      <c r="A137" s="5" t="s">
        <v>86</v>
      </c>
      <c r="B137" t="s">
        <v>81</v>
      </c>
      <c r="C137">
        <v>1</v>
      </c>
      <c r="D137">
        <v>0.59</v>
      </c>
      <c r="E137">
        <f t="shared" si="6"/>
        <v>0.59</v>
      </c>
      <c r="F137" s="6"/>
    </row>
    <row r="138" spans="1:6">
      <c r="A138" s="5" t="s">
        <v>8</v>
      </c>
      <c r="B138" t="s">
        <v>82</v>
      </c>
      <c r="C138">
        <v>1</v>
      </c>
      <c r="D138">
        <v>0.43</v>
      </c>
      <c r="E138">
        <f t="shared" si="6"/>
        <v>0.43</v>
      </c>
      <c r="F138" s="6"/>
    </row>
    <row r="139" spans="1:6" ht="15">
      <c r="A139" s="5"/>
      <c r="F139" s="6"/>
    </row>
    <row r="140" spans="1:6" ht="15">
      <c r="A140" s="5"/>
      <c r="D140" t="s">
        <v>26</v>
      </c>
      <c r="E140">
        <f>SUM(E131:E139)</f>
        <v>49.530000000000008</v>
      </c>
      <c r="F140" s="6"/>
    </row>
    <row r="141" spans="1:6" ht="15">
      <c r="A141" s="5"/>
      <c r="D141" t="s">
        <v>27</v>
      </c>
      <c r="E141">
        <v>144</v>
      </c>
      <c r="F141" s="6"/>
    </row>
    <row r="142" spans="1:6" ht="15.75" thickBot="1">
      <c r="A142" s="7"/>
      <c r="B142" s="8"/>
      <c r="C142" s="8"/>
      <c r="D142" s="8" t="s">
        <v>28</v>
      </c>
      <c r="E142" s="8">
        <f>+E141-E140</f>
        <v>94.47</v>
      </c>
      <c r="F142" s="6"/>
    </row>
    <row r="143" spans="1:6" ht="15">
      <c r="A143" s="5"/>
      <c r="F143" s="6"/>
    </row>
    <row r="144" spans="1:6" ht="15">
      <c r="A144" s="5"/>
      <c r="F144" s="6"/>
    </row>
    <row r="145" spans="1:6" ht="15.75" thickBot="1">
      <c r="A145" s="7"/>
      <c r="B145" s="8"/>
      <c r="C145" s="8"/>
      <c r="D145" s="8"/>
      <c r="E145" s="8"/>
      <c r="F145" s="9"/>
    </row>
    <row r="146" spans="1:6" ht="15.75" thickBot="1"/>
    <row r="147" spans="1:6" ht="15">
      <c r="A147" s="1" t="s">
        <v>1</v>
      </c>
      <c r="B147" s="2">
        <v>46125</v>
      </c>
      <c r="C147" s="3"/>
      <c r="D147" s="3"/>
      <c r="E147" s="3"/>
      <c r="F147" s="4"/>
    </row>
    <row r="148" spans="1:6" ht="15">
      <c r="A148" s="5" t="s">
        <v>88</v>
      </c>
      <c r="B148" t="s">
        <v>89</v>
      </c>
      <c r="F148" s="6"/>
    </row>
    <row r="149" spans="1:6" ht="15">
      <c r="A149" s="5" t="s">
        <v>129</v>
      </c>
      <c r="B149" t="s">
        <v>90</v>
      </c>
      <c r="F149" s="6"/>
    </row>
    <row r="150" spans="1:6" ht="15">
      <c r="A150" s="5" t="s">
        <v>3</v>
      </c>
      <c r="B150" t="s">
        <v>12</v>
      </c>
      <c r="C150" t="s">
        <v>11</v>
      </c>
      <c r="D150" t="s">
        <v>22</v>
      </c>
      <c r="E150" t="s">
        <v>25</v>
      </c>
      <c r="F150" s="6"/>
    </row>
    <row r="151" spans="1:6" ht="15">
      <c r="A151" s="5" t="s">
        <v>91</v>
      </c>
      <c r="B151" t="s">
        <v>92</v>
      </c>
      <c r="C151">
        <v>8</v>
      </c>
      <c r="D151">
        <v>3.85</v>
      </c>
      <c r="E151">
        <f>+D151*C151</f>
        <v>30.8</v>
      </c>
      <c r="F151" s="6"/>
    </row>
    <row r="152" spans="1:6" ht="15">
      <c r="A152" s="5" t="s">
        <v>5</v>
      </c>
      <c r="B152" t="s">
        <v>14</v>
      </c>
      <c r="D152">
        <v>0.81799999999999995</v>
      </c>
      <c r="E152">
        <f t="shared" ref="E152:E158" si="7">+D152*C152</f>
        <v>0</v>
      </c>
      <c r="F152" s="6"/>
    </row>
    <row r="153" spans="1:6">
      <c r="A153" s="5" t="s">
        <v>23</v>
      </c>
      <c r="B153" t="s">
        <v>24</v>
      </c>
      <c r="D153">
        <v>0.55400000000000005</v>
      </c>
      <c r="E153">
        <f t="shared" si="7"/>
        <v>0</v>
      </c>
      <c r="F153" s="6"/>
    </row>
    <row r="154" spans="1:6" ht="15">
      <c r="A154" s="5" t="s">
        <v>6</v>
      </c>
      <c r="B154" t="s">
        <v>15</v>
      </c>
      <c r="C154">
        <v>2</v>
      </c>
      <c r="D154">
        <v>0.67200000000000004</v>
      </c>
      <c r="E154">
        <f t="shared" si="7"/>
        <v>1.3440000000000001</v>
      </c>
      <c r="F154" s="6"/>
    </row>
    <row r="155" spans="1:6" ht="15">
      <c r="A155" s="5" t="s">
        <v>7</v>
      </c>
      <c r="B155" t="s">
        <v>16</v>
      </c>
      <c r="C155">
        <v>2</v>
      </c>
      <c r="D155">
        <v>0.72199999999999998</v>
      </c>
      <c r="E155">
        <f t="shared" si="7"/>
        <v>1.444</v>
      </c>
      <c r="F155" s="6"/>
    </row>
    <row r="156" spans="1:6">
      <c r="A156" s="5" t="s">
        <v>8</v>
      </c>
      <c r="B156" t="s">
        <v>17</v>
      </c>
      <c r="C156">
        <v>2</v>
      </c>
      <c r="D156">
        <v>0.43</v>
      </c>
      <c r="E156">
        <f t="shared" si="7"/>
        <v>0.86</v>
      </c>
      <c r="F156" s="6"/>
    </row>
    <row r="157" spans="1:6" ht="15">
      <c r="A157" s="5" t="s">
        <v>9</v>
      </c>
      <c r="B157" t="s">
        <v>18</v>
      </c>
      <c r="C157">
        <v>2</v>
      </c>
      <c r="D157">
        <v>2.63</v>
      </c>
      <c r="E157">
        <f t="shared" si="7"/>
        <v>5.26</v>
      </c>
      <c r="F157" s="6"/>
    </row>
    <row r="158" spans="1:6" ht="15">
      <c r="A158" s="5" t="s">
        <v>10</v>
      </c>
      <c r="B158" t="s">
        <v>19</v>
      </c>
      <c r="C158">
        <v>2</v>
      </c>
      <c r="D158">
        <v>0.59</v>
      </c>
      <c r="E158">
        <f t="shared" si="7"/>
        <v>1.18</v>
      </c>
      <c r="F158" s="6"/>
    </row>
    <row r="159" spans="1:6" ht="15">
      <c r="A159" s="5"/>
      <c r="F159" s="6"/>
    </row>
    <row r="160" spans="1:6" ht="15">
      <c r="A160" s="5"/>
      <c r="D160" t="s">
        <v>26</v>
      </c>
      <c r="E160">
        <f>SUM(E151:E159)</f>
        <v>40.887999999999998</v>
      </c>
      <c r="F160" s="6">
        <f>+E160/E161</f>
        <v>0.27171717171717175</v>
      </c>
    </row>
    <row r="161" spans="1:6" ht="15">
      <c r="A161" s="5"/>
      <c r="D161" t="s">
        <v>27</v>
      </c>
      <c r="E161">
        <v>150.47999999999999</v>
      </c>
      <c r="F161" s="6"/>
    </row>
    <row r="162" spans="1:6" ht="15.75" thickBot="1">
      <c r="A162" s="7"/>
      <c r="B162" s="8"/>
      <c r="C162" s="8"/>
      <c r="D162" s="8" t="s">
        <v>28</v>
      </c>
      <c r="E162" s="8">
        <f>+E161-E160</f>
        <v>109.59199999999998</v>
      </c>
      <c r="F162" s="9"/>
    </row>
    <row r="163" spans="1:6" ht="15.75" thickBot="1"/>
    <row r="164" spans="1:6" ht="15">
      <c r="A164" s="1" t="s">
        <v>1</v>
      </c>
      <c r="B164" s="2">
        <v>46134</v>
      </c>
      <c r="C164" s="3"/>
      <c r="D164" s="3"/>
      <c r="E164" s="3"/>
      <c r="F164" s="4"/>
    </row>
    <row r="165" spans="1:6" ht="15">
      <c r="A165" s="5" t="s">
        <v>88</v>
      </c>
      <c r="B165" t="s">
        <v>93</v>
      </c>
      <c r="F165" s="6"/>
    </row>
    <row r="166" spans="1:6" ht="15">
      <c r="A166" s="5" t="s">
        <v>100</v>
      </c>
      <c r="B166" t="s">
        <v>94</v>
      </c>
      <c r="F166" s="6"/>
    </row>
    <row r="167" spans="1:6" ht="15">
      <c r="A167" s="5"/>
      <c r="B167" t="s">
        <v>95</v>
      </c>
      <c r="F167" s="6"/>
    </row>
    <row r="168" spans="1:6" ht="15">
      <c r="A168" s="5" t="s">
        <v>3</v>
      </c>
      <c r="B168" t="s">
        <v>12</v>
      </c>
      <c r="C168" t="s">
        <v>11</v>
      </c>
      <c r="D168" t="s">
        <v>22</v>
      </c>
      <c r="E168" t="s">
        <v>25</v>
      </c>
      <c r="F168" s="6"/>
    </row>
    <row r="169" spans="1:6" ht="15">
      <c r="A169" s="11" t="s">
        <v>96</v>
      </c>
      <c r="B169" t="s">
        <v>97</v>
      </c>
      <c r="C169">
        <v>25</v>
      </c>
      <c r="D169">
        <v>3.46</v>
      </c>
      <c r="E169">
        <f t="shared" ref="E169:E176" si="8">+D169*C169</f>
        <v>86.5</v>
      </c>
      <c r="F169" s="6"/>
    </row>
    <row r="170" spans="1:6" ht="15">
      <c r="A170" s="11" t="s">
        <v>5</v>
      </c>
      <c r="B170" t="s">
        <v>14</v>
      </c>
      <c r="C170">
        <v>38</v>
      </c>
      <c r="D170">
        <v>0.81799999999999995</v>
      </c>
      <c r="E170">
        <f t="shared" si="8"/>
        <v>31.084</v>
      </c>
      <c r="F170" s="6"/>
    </row>
    <row r="171" spans="1:6">
      <c r="A171" s="11" t="s">
        <v>23</v>
      </c>
      <c r="B171" t="s">
        <v>24</v>
      </c>
      <c r="C171">
        <v>19</v>
      </c>
      <c r="D171">
        <v>0.55400000000000005</v>
      </c>
      <c r="E171">
        <f t="shared" si="8"/>
        <v>10.526000000000002</v>
      </c>
      <c r="F171" s="6"/>
    </row>
    <row r="172" spans="1:6" ht="15">
      <c r="A172" s="11" t="s">
        <v>6</v>
      </c>
      <c r="B172" t="s">
        <v>15</v>
      </c>
      <c r="C172">
        <v>4</v>
      </c>
      <c r="D172">
        <v>0.67200000000000004</v>
      </c>
      <c r="E172">
        <f t="shared" si="8"/>
        <v>2.6880000000000002</v>
      </c>
      <c r="F172" s="6"/>
    </row>
    <row r="173" spans="1:6" ht="15">
      <c r="A173" s="11" t="s">
        <v>7</v>
      </c>
      <c r="B173" t="s">
        <v>16</v>
      </c>
      <c r="C173">
        <v>4</v>
      </c>
      <c r="D173">
        <v>0.72199999999999998</v>
      </c>
      <c r="E173">
        <f t="shared" si="8"/>
        <v>2.8879999999999999</v>
      </c>
      <c r="F173" s="6"/>
    </row>
    <row r="174" spans="1:6">
      <c r="A174" s="11" t="s">
        <v>8</v>
      </c>
      <c r="B174" t="s">
        <v>17</v>
      </c>
      <c r="C174">
        <v>4</v>
      </c>
      <c r="D174">
        <v>0.43</v>
      </c>
      <c r="E174">
        <f t="shared" si="8"/>
        <v>1.72</v>
      </c>
      <c r="F174" s="6"/>
    </row>
    <row r="175" spans="1:6" ht="15">
      <c r="A175" s="11" t="s">
        <v>9</v>
      </c>
      <c r="B175" t="s">
        <v>18</v>
      </c>
      <c r="C175">
        <v>4</v>
      </c>
      <c r="D175">
        <v>2.63</v>
      </c>
      <c r="E175">
        <f t="shared" si="8"/>
        <v>10.52</v>
      </c>
      <c r="F175" s="6"/>
    </row>
    <row r="176" spans="1:6" ht="15">
      <c r="A176" s="11" t="s">
        <v>10</v>
      </c>
      <c r="B176" t="s">
        <v>19</v>
      </c>
      <c r="C176">
        <v>4</v>
      </c>
      <c r="D176">
        <v>0.59</v>
      </c>
      <c r="E176">
        <f t="shared" si="8"/>
        <v>2.36</v>
      </c>
      <c r="F176" s="6"/>
    </row>
    <row r="177" spans="1:6" ht="15">
      <c r="A177" s="5"/>
      <c r="F177" s="6"/>
    </row>
    <row r="178" spans="1:6" ht="15">
      <c r="A178" s="5"/>
      <c r="D178" t="s">
        <v>26</v>
      </c>
      <c r="E178">
        <f>SUM(E169:E177)</f>
        <v>148.28600000000003</v>
      </c>
      <c r="F178" s="6">
        <f>+E178/E179</f>
        <v>0.25996844319775603</v>
      </c>
    </row>
    <row r="179" spans="1:6" ht="15">
      <c r="A179" s="5"/>
      <c r="D179" t="s">
        <v>27</v>
      </c>
      <c r="E179">
        <v>570.4</v>
      </c>
      <c r="F179" s="6"/>
    </row>
    <row r="180" spans="1:6" ht="15.75" thickBot="1">
      <c r="A180" s="7"/>
      <c r="B180" s="8"/>
      <c r="C180" s="8"/>
      <c r="D180" s="8" t="s">
        <v>28</v>
      </c>
      <c r="E180" s="8">
        <f>+E179-E178</f>
        <v>422.11399999999992</v>
      </c>
      <c r="F180" s="9"/>
    </row>
    <row r="181" spans="1:6" ht="15.75" thickBot="1"/>
    <row r="182" spans="1:6" ht="15">
      <c r="A182" s="1" t="s">
        <v>1</v>
      </c>
      <c r="B182" s="2">
        <v>46135</v>
      </c>
      <c r="C182" s="3"/>
      <c r="D182" s="3"/>
      <c r="E182" s="3"/>
      <c r="F182" s="4"/>
    </row>
    <row r="183" spans="1:6" ht="15">
      <c r="A183" s="5" t="s">
        <v>98</v>
      </c>
      <c r="B183" t="s">
        <v>101</v>
      </c>
      <c r="F183" s="6"/>
    </row>
    <row r="184" spans="1:6" ht="15">
      <c r="A184" s="5"/>
      <c r="B184" t="s">
        <v>102</v>
      </c>
      <c r="F184" s="6"/>
    </row>
    <row r="185" spans="1:6" ht="15">
      <c r="A185" s="5" t="s">
        <v>99</v>
      </c>
      <c r="B185" t="s">
        <v>105</v>
      </c>
      <c r="F185" s="6"/>
    </row>
    <row r="186" spans="1:6" ht="15">
      <c r="A186" s="5" t="s">
        <v>3</v>
      </c>
      <c r="B186" t="s">
        <v>12</v>
      </c>
      <c r="C186" t="s">
        <v>11</v>
      </c>
      <c r="D186" t="s">
        <v>22</v>
      </c>
      <c r="E186" t="s">
        <v>25</v>
      </c>
      <c r="F186" s="6"/>
    </row>
    <row r="187" spans="1:6" ht="15">
      <c r="A187" s="11" t="s">
        <v>103</v>
      </c>
      <c r="B187" t="s">
        <v>104</v>
      </c>
      <c r="C187">
        <v>25</v>
      </c>
      <c r="D187">
        <v>3.54</v>
      </c>
      <c r="E187">
        <f>+D187*C187</f>
        <v>88.5</v>
      </c>
      <c r="F187" s="6"/>
    </row>
    <row r="188" spans="1:6" ht="15">
      <c r="A188" s="11" t="s">
        <v>5</v>
      </c>
      <c r="B188" t="s">
        <v>14</v>
      </c>
      <c r="C188">
        <v>19</v>
      </c>
      <c r="D188">
        <v>0.81799999999999995</v>
      </c>
      <c r="E188">
        <f t="shared" ref="E188:E194" si="9">+D188*C188</f>
        <v>15.542</v>
      </c>
      <c r="F188" s="6"/>
    </row>
    <row r="189" spans="1:6">
      <c r="A189" s="11" t="s">
        <v>23</v>
      </c>
      <c r="B189" t="s">
        <v>24</v>
      </c>
      <c r="C189">
        <v>19</v>
      </c>
      <c r="D189">
        <v>0.55400000000000005</v>
      </c>
      <c r="E189">
        <f t="shared" si="9"/>
        <v>10.526000000000002</v>
      </c>
      <c r="F189" s="6"/>
    </row>
    <row r="190" spans="1:6" ht="15">
      <c r="A190" s="11" t="s">
        <v>6</v>
      </c>
      <c r="B190" t="s">
        <v>15</v>
      </c>
      <c r="C190">
        <v>4</v>
      </c>
      <c r="D190">
        <v>0.67200000000000004</v>
      </c>
      <c r="E190">
        <f t="shared" si="9"/>
        <v>2.6880000000000002</v>
      </c>
      <c r="F190" s="6"/>
    </row>
    <row r="191" spans="1:6" ht="15">
      <c r="A191" s="11" t="s">
        <v>7</v>
      </c>
      <c r="B191" t="s">
        <v>16</v>
      </c>
      <c r="C191">
        <v>4</v>
      </c>
      <c r="D191">
        <v>0.72199999999999998</v>
      </c>
      <c r="E191">
        <f t="shared" si="9"/>
        <v>2.8879999999999999</v>
      </c>
      <c r="F191" s="6"/>
    </row>
    <row r="192" spans="1:6">
      <c r="A192" s="11" t="s">
        <v>8</v>
      </c>
      <c r="B192" t="s">
        <v>17</v>
      </c>
      <c r="C192">
        <v>4</v>
      </c>
      <c r="D192">
        <v>0.43</v>
      </c>
      <c r="E192">
        <f t="shared" si="9"/>
        <v>1.72</v>
      </c>
      <c r="F192" s="6"/>
    </row>
    <row r="193" spans="1:6" ht="15">
      <c r="A193" s="11" t="s">
        <v>9</v>
      </c>
      <c r="B193" t="s">
        <v>18</v>
      </c>
      <c r="C193">
        <v>4</v>
      </c>
      <c r="D193">
        <v>2.63</v>
      </c>
      <c r="E193">
        <f t="shared" si="9"/>
        <v>10.52</v>
      </c>
      <c r="F193" s="6"/>
    </row>
    <row r="194" spans="1:6" ht="15">
      <c r="A194" s="11" t="s">
        <v>10</v>
      </c>
      <c r="B194" t="s">
        <v>19</v>
      </c>
      <c r="C194">
        <v>4</v>
      </c>
      <c r="D194">
        <v>0.59</v>
      </c>
      <c r="E194">
        <f t="shared" si="9"/>
        <v>2.36</v>
      </c>
      <c r="F194" s="6"/>
    </row>
    <row r="195" spans="1:6" ht="15">
      <c r="A195" s="5"/>
      <c r="F195" s="6"/>
    </row>
    <row r="196" spans="1:6" ht="15">
      <c r="A196" s="5"/>
      <c r="D196" t="s">
        <v>26</v>
      </c>
      <c r="E196">
        <f>SUM(E187:E195)</f>
        <v>134.74400000000003</v>
      </c>
      <c r="F196" s="6">
        <f>+E196/E197</f>
        <v>0.23980921193137331</v>
      </c>
    </row>
    <row r="197" spans="1:6" ht="15">
      <c r="A197" s="5"/>
      <c r="D197" t="s">
        <v>27</v>
      </c>
      <c r="E197">
        <v>561.88</v>
      </c>
      <c r="F197" s="6"/>
    </row>
    <row r="198" spans="1:6" ht="15.75" thickBot="1">
      <c r="A198" s="7"/>
      <c r="B198" s="8"/>
      <c r="C198" s="8"/>
      <c r="D198" s="8" t="s">
        <v>28</v>
      </c>
      <c r="E198" s="8">
        <f>+E197-E196</f>
        <v>427.13599999999997</v>
      </c>
      <c r="F198" s="9"/>
    </row>
    <row r="199" spans="1:6" ht="15.75" thickBot="1"/>
    <row r="200" spans="1:6" ht="15">
      <c r="A200" s="1" t="s">
        <v>1</v>
      </c>
      <c r="B200" s="2">
        <v>46135</v>
      </c>
      <c r="C200" s="3"/>
      <c r="D200" s="3"/>
      <c r="E200" s="3"/>
      <c r="F200" s="4"/>
    </row>
    <row r="201" spans="1:6" ht="15">
      <c r="A201" s="5" t="s">
        <v>88</v>
      </c>
      <c r="B201" t="s">
        <v>107</v>
      </c>
      <c r="F201" s="6"/>
    </row>
    <row r="202" spans="1:6" ht="15">
      <c r="A202" s="5" t="s">
        <v>106</v>
      </c>
      <c r="B202" t="s">
        <v>108</v>
      </c>
      <c r="F202" s="6"/>
    </row>
    <row r="203" spans="1:6" ht="15">
      <c r="A203" s="5"/>
      <c r="F203" s="6"/>
    </row>
    <row r="204" spans="1:6" ht="15">
      <c r="A204" s="5" t="s">
        <v>3</v>
      </c>
      <c r="B204" t="s">
        <v>12</v>
      </c>
      <c r="C204" t="s">
        <v>11</v>
      </c>
      <c r="D204" t="s">
        <v>22</v>
      </c>
      <c r="E204" t="s">
        <v>25</v>
      </c>
      <c r="F204" s="6"/>
    </row>
    <row r="205" spans="1:6" ht="15">
      <c r="A205" s="11" t="s">
        <v>110</v>
      </c>
      <c r="B205" t="s">
        <v>109</v>
      </c>
      <c r="C205">
        <v>8</v>
      </c>
      <c r="D205">
        <v>3.67</v>
      </c>
      <c r="E205">
        <f>+D205*C205</f>
        <v>29.36</v>
      </c>
      <c r="F205" s="6"/>
    </row>
    <row r="206" spans="1:6" ht="15">
      <c r="A206" s="11" t="s">
        <v>5</v>
      </c>
      <c r="B206" t="s">
        <v>14</v>
      </c>
      <c r="C206">
        <v>19</v>
      </c>
      <c r="D206">
        <v>0.81799999999999995</v>
      </c>
      <c r="E206">
        <f t="shared" ref="E206:E212" si="10">+D206*C206</f>
        <v>15.542</v>
      </c>
      <c r="F206" s="6"/>
    </row>
    <row r="207" spans="1:6">
      <c r="A207" s="11" t="s">
        <v>23</v>
      </c>
      <c r="B207" t="s">
        <v>24</v>
      </c>
      <c r="C207">
        <v>19</v>
      </c>
      <c r="D207">
        <v>0.55400000000000005</v>
      </c>
      <c r="E207">
        <f t="shared" si="10"/>
        <v>10.526000000000002</v>
      </c>
      <c r="F207" s="6"/>
    </row>
    <row r="208" spans="1:6" ht="15">
      <c r="A208" s="11" t="s">
        <v>6</v>
      </c>
      <c r="B208" t="s">
        <v>15</v>
      </c>
      <c r="C208">
        <v>2</v>
      </c>
      <c r="D208">
        <v>0.67200000000000004</v>
      </c>
      <c r="E208">
        <f t="shared" si="10"/>
        <v>1.3440000000000001</v>
      </c>
      <c r="F208" s="6"/>
    </row>
    <row r="209" spans="1:6" ht="15">
      <c r="A209" s="11" t="s">
        <v>7</v>
      </c>
      <c r="B209" t="s">
        <v>16</v>
      </c>
      <c r="C209">
        <v>2</v>
      </c>
      <c r="D209">
        <v>0.72199999999999998</v>
      </c>
      <c r="E209">
        <f t="shared" si="10"/>
        <v>1.444</v>
      </c>
      <c r="F209" s="6"/>
    </row>
    <row r="210" spans="1:6">
      <c r="A210" s="11" t="s">
        <v>8</v>
      </c>
      <c r="B210" t="s">
        <v>17</v>
      </c>
      <c r="C210">
        <v>2</v>
      </c>
      <c r="D210">
        <v>0.43</v>
      </c>
      <c r="E210">
        <f t="shared" si="10"/>
        <v>0.86</v>
      </c>
      <c r="F210" s="6"/>
    </row>
    <row r="211" spans="1:6" ht="15">
      <c r="A211" s="11" t="s">
        <v>9</v>
      </c>
      <c r="B211" t="s">
        <v>18</v>
      </c>
      <c r="C211">
        <v>2</v>
      </c>
      <c r="D211">
        <v>2.63</v>
      </c>
      <c r="E211">
        <f t="shared" si="10"/>
        <v>5.26</v>
      </c>
      <c r="F211" s="6"/>
    </row>
    <row r="212" spans="1:6" ht="15">
      <c r="A212" s="11" t="s">
        <v>10</v>
      </c>
      <c r="B212" t="s">
        <v>19</v>
      </c>
      <c r="C212">
        <v>2</v>
      </c>
      <c r="D212">
        <v>0.59</v>
      </c>
      <c r="E212">
        <f t="shared" si="10"/>
        <v>1.18</v>
      </c>
      <c r="F212" s="6"/>
    </row>
    <row r="213" spans="1:6" ht="15">
      <c r="A213" s="5"/>
      <c r="F213" s="6"/>
    </row>
    <row r="214" spans="1:6" ht="15">
      <c r="A214" s="5"/>
      <c r="D214" t="s">
        <v>26</v>
      </c>
      <c r="E214">
        <f>SUM(E205:E213)</f>
        <v>65.51600000000002</v>
      </c>
      <c r="F214" s="6">
        <f>+E214/E215</f>
        <v>0.3174224806201551</v>
      </c>
    </row>
    <row r="215" spans="1:6" ht="15">
      <c r="A215" s="5"/>
      <c r="D215" t="s">
        <v>27</v>
      </c>
      <c r="E215">
        <v>206.4</v>
      </c>
      <c r="F215" s="6"/>
    </row>
    <row r="216" spans="1:6" ht="15.75" thickBot="1">
      <c r="A216" s="7"/>
      <c r="B216" s="8"/>
      <c r="C216" s="8"/>
      <c r="D216" s="8" t="s">
        <v>28</v>
      </c>
      <c r="E216" s="8">
        <f>+E215-E214</f>
        <v>140.88399999999999</v>
      </c>
      <c r="F216" s="9"/>
    </row>
    <row r="217" spans="1:6" ht="15.75" thickBot="1"/>
    <row r="218" spans="1:6" ht="15">
      <c r="A218" s="1" t="s">
        <v>29</v>
      </c>
      <c r="B218" s="2">
        <v>46136</v>
      </c>
      <c r="C218" s="3"/>
      <c r="D218" s="3"/>
      <c r="E218" s="3"/>
      <c r="F218" s="4"/>
    </row>
    <row r="219" spans="1:6" ht="15">
      <c r="A219" s="5"/>
      <c r="B219" s="10" t="s">
        <v>112</v>
      </c>
      <c r="F219" s="6"/>
    </row>
    <row r="220" spans="1:6" ht="15">
      <c r="A220" s="5" t="s">
        <v>38</v>
      </c>
      <c r="B220" s="10" t="s">
        <v>112</v>
      </c>
      <c r="F220" s="6"/>
    </row>
    <row r="221" spans="1:6" ht="15">
      <c r="A221" s="5" t="s">
        <v>111</v>
      </c>
      <c r="B221" s="10" t="s">
        <v>113</v>
      </c>
      <c r="F221" s="6"/>
    </row>
    <row r="222" spans="1:6" ht="15">
      <c r="A222" s="5"/>
      <c r="B222" s="10" t="s">
        <v>114</v>
      </c>
      <c r="F222" s="6"/>
    </row>
    <row r="223" spans="1:6" ht="15">
      <c r="A223" s="5"/>
      <c r="B223" s="10" t="s">
        <v>115</v>
      </c>
      <c r="F223" s="6"/>
    </row>
    <row r="224" spans="1:6" ht="15">
      <c r="A224" s="5"/>
      <c r="B224" s="10"/>
      <c r="F224" s="6"/>
    </row>
    <row r="225" spans="1:6" ht="15">
      <c r="A225" s="5"/>
      <c r="F225" s="6"/>
    </row>
    <row r="226" spans="1:6" ht="15">
      <c r="A226" s="5" t="s">
        <v>3</v>
      </c>
      <c r="B226" t="s">
        <v>12</v>
      </c>
      <c r="C226" t="s">
        <v>11</v>
      </c>
      <c r="D226" t="s">
        <v>22</v>
      </c>
      <c r="E226" t="s">
        <v>25</v>
      </c>
      <c r="F226" s="6"/>
    </row>
    <row r="227" spans="1:6" ht="15">
      <c r="A227" s="5"/>
      <c r="F227" s="6"/>
    </row>
    <row r="228" spans="1:6" ht="15">
      <c r="A228" s="11" t="s">
        <v>116</v>
      </c>
      <c r="B228" t="s">
        <v>117</v>
      </c>
      <c r="C228">
        <v>81</v>
      </c>
      <c r="D228">
        <v>7.69</v>
      </c>
      <c r="E228">
        <f t="shared" ref="E228:E238" si="11">+D228*C228</f>
        <v>622.89</v>
      </c>
      <c r="F228" s="6"/>
    </row>
    <row r="229" spans="1:6" ht="15">
      <c r="A229" s="11" t="s">
        <v>118</v>
      </c>
      <c r="B229" t="s">
        <v>119</v>
      </c>
      <c r="C229">
        <v>38</v>
      </c>
      <c r="D229">
        <v>2.42</v>
      </c>
      <c r="E229">
        <f t="shared" si="11"/>
        <v>91.96</v>
      </c>
      <c r="F229" s="6"/>
    </row>
    <row r="230" spans="1:6" ht="15">
      <c r="A230" s="11" t="s">
        <v>120</v>
      </c>
      <c r="B230" t="s">
        <v>121</v>
      </c>
      <c r="C230">
        <v>38</v>
      </c>
      <c r="D230">
        <v>1.17</v>
      </c>
      <c r="E230">
        <f t="shared" si="11"/>
        <v>44.459999999999994</v>
      </c>
      <c r="F230" s="6"/>
    </row>
    <row r="231" spans="1:6" ht="15">
      <c r="A231" s="11" t="s">
        <v>60</v>
      </c>
      <c r="B231" t="s">
        <v>59</v>
      </c>
      <c r="C231">
        <v>10</v>
      </c>
      <c r="D231">
        <v>0.38</v>
      </c>
      <c r="E231">
        <f t="shared" si="11"/>
        <v>3.8</v>
      </c>
      <c r="F231" s="6"/>
    </row>
    <row r="232" spans="1:6" ht="15">
      <c r="A232" s="11" t="s">
        <v>53</v>
      </c>
      <c r="B232" t="s">
        <v>61</v>
      </c>
      <c r="C232">
        <v>15</v>
      </c>
      <c r="D232">
        <v>0.44</v>
      </c>
      <c r="E232">
        <f t="shared" si="11"/>
        <v>6.6</v>
      </c>
      <c r="F232" s="6"/>
    </row>
    <row r="233" spans="1:6">
      <c r="A233" s="11" t="s">
        <v>23</v>
      </c>
      <c r="B233" s="5" t="s">
        <v>62</v>
      </c>
      <c r="C233">
        <v>38</v>
      </c>
      <c r="D233">
        <v>0.55000000000000004</v>
      </c>
      <c r="E233">
        <f t="shared" si="11"/>
        <v>20.900000000000002</v>
      </c>
      <c r="F233" s="6"/>
    </row>
    <row r="234" spans="1:6" ht="15">
      <c r="A234" s="11" t="s">
        <v>54</v>
      </c>
      <c r="B234" t="s">
        <v>63</v>
      </c>
      <c r="C234">
        <v>19</v>
      </c>
      <c r="D234">
        <v>1.25</v>
      </c>
      <c r="E234">
        <f t="shared" si="11"/>
        <v>23.75</v>
      </c>
      <c r="F234" s="6"/>
    </row>
    <row r="235" spans="1:6" ht="15">
      <c r="A235" s="11" t="s">
        <v>9</v>
      </c>
      <c r="B235" t="s">
        <v>122</v>
      </c>
      <c r="C235">
        <v>5</v>
      </c>
      <c r="D235">
        <v>2.62</v>
      </c>
      <c r="E235">
        <f t="shared" si="11"/>
        <v>13.100000000000001</v>
      </c>
      <c r="F235" s="6"/>
    </row>
    <row r="236" spans="1:6" ht="15">
      <c r="A236" s="5" t="s">
        <v>57</v>
      </c>
      <c r="B236" t="s">
        <v>65</v>
      </c>
      <c r="C236">
        <v>5</v>
      </c>
      <c r="D236">
        <v>0.27</v>
      </c>
      <c r="E236">
        <f t="shared" si="11"/>
        <v>1.35</v>
      </c>
      <c r="F236" s="6"/>
    </row>
    <row r="237" spans="1:6" ht="15">
      <c r="A237" s="5" t="s">
        <v>66</v>
      </c>
      <c r="B237" t="s">
        <v>67</v>
      </c>
      <c r="C237">
        <v>3</v>
      </c>
      <c r="D237">
        <v>0.57999999999999996</v>
      </c>
      <c r="E237">
        <f t="shared" si="11"/>
        <v>1.7399999999999998</v>
      </c>
      <c r="F237" s="6"/>
    </row>
    <row r="238" spans="1:6" ht="15">
      <c r="A238" s="5" t="s">
        <v>68</v>
      </c>
      <c r="B238" t="s">
        <v>69</v>
      </c>
      <c r="C238">
        <v>10</v>
      </c>
      <c r="D238">
        <v>0.56000000000000005</v>
      </c>
      <c r="E238">
        <f t="shared" si="11"/>
        <v>5.6000000000000005</v>
      </c>
      <c r="F238" s="6"/>
    </row>
    <row r="239" spans="1:6" ht="15">
      <c r="A239" s="5"/>
      <c r="D239" t="s">
        <v>26</v>
      </c>
      <c r="E239">
        <f>SUM(E228:E238)</f>
        <v>836.15000000000009</v>
      </c>
      <c r="F239" s="6"/>
    </row>
    <row r="240" spans="1:6" ht="15">
      <c r="A240" s="5"/>
      <c r="D240" t="s">
        <v>27</v>
      </c>
      <c r="E240">
        <v>1964.55</v>
      </c>
      <c r="F240" s="6"/>
    </row>
    <row r="241" spans="1:6" ht="15">
      <c r="A241" s="5"/>
      <c r="D241" t="s">
        <v>28</v>
      </c>
      <c r="E241">
        <f>+E240-E239</f>
        <v>1128.3999999999999</v>
      </c>
      <c r="F241" s="6"/>
    </row>
    <row r="242" spans="1:6" ht="15.75" thickBot="1">
      <c r="A242" s="7"/>
      <c r="B242" s="8"/>
      <c r="C242" s="8"/>
      <c r="D242" s="8"/>
      <c r="E242" s="8"/>
      <c r="F242" s="9"/>
    </row>
    <row r="243" spans="1:6" ht="15.75" thickBot="1"/>
    <row r="244" spans="1:6" ht="15">
      <c r="A244" s="1" t="s">
        <v>130</v>
      </c>
      <c r="B244" s="2">
        <v>46140</v>
      </c>
      <c r="C244" s="3"/>
      <c r="D244" s="3"/>
      <c r="E244" s="3"/>
      <c r="F244" s="4"/>
    </row>
    <row r="245" spans="1:6" ht="15">
      <c r="A245" s="5"/>
      <c r="B245" s="10" t="s">
        <v>131</v>
      </c>
      <c r="F245" s="6"/>
    </row>
    <row r="246" spans="1:6" ht="15">
      <c r="A246" s="5"/>
      <c r="B246" s="10" t="s">
        <v>132</v>
      </c>
      <c r="F246" s="6"/>
    </row>
    <row r="247" spans="1:6" ht="15">
      <c r="A247" s="5"/>
      <c r="B247" s="10"/>
      <c r="F247" s="6"/>
    </row>
    <row r="248" spans="1:6" ht="15">
      <c r="A248" s="5"/>
      <c r="B248" s="10"/>
      <c r="F248" s="6"/>
    </row>
    <row r="249" spans="1:6" ht="15">
      <c r="A249" s="5"/>
      <c r="B249" s="10"/>
      <c r="F249" s="6"/>
    </row>
    <row r="250" spans="1:6" ht="15">
      <c r="A250" s="5"/>
      <c r="B250" s="10"/>
      <c r="F250" s="6"/>
    </row>
    <row r="251" spans="1:6" ht="15">
      <c r="A251" s="5"/>
      <c r="F251" s="6"/>
    </row>
    <row r="252" spans="1:6" ht="15">
      <c r="A252" s="5" t="s">
        <v>3</v>
      </c>
      <c r="B252" t="s">
        <v>12</v>
      </c>
      <c r="C252" t="s">
        <v>11</v>
      </c>
      <c r="D252" t="s">
        <v>22</v>
      </c>
      <c r="E252" t="s">
        <v>25</v>
      </c>
      <c r="F252" s="6"/>
    </row>
    <row r="253" spans="1:6" ht="15">
      <c r="A253" s="5"/>
      <c r="F253" s="6"/>
    </row>
    <row r="254" spans="1:6" ht="15">
      <c r="A254" s="11" t="s">
        <v>133</v>
      </c>
      <c r="B254" t="s">
        <v>134</v>
      </c>
      <c r="C254">
        <v>14</v>
      </c>
      <c r="D254">
        <v>4.407</v>
      </c>
      <c r="E254">
        <f t="shared" ref="E254:E264" si="12">+D254*C254</f>
        <v>61.698</v>
      </c>
      <c r="F254" s="6"/>
    </row>
    <row r="255" spans="1:6" ht="15">
      <c r="A255" s="11" t="s">
        <v>118</v>
      </c>
      <c r="B255" t="s">
        <v>119</v>
      </c>
      <c r="C255">
        <v>19</v>
      </c>
      <c r="D255">
        <v>2.42</v>
      </c>
      <c r="E255">
        <f t="shared" si="12"/>
        <v>45.98</v>
      </c>
      <c r="F255" s="6"/>
    </row>
    <row r="256" spans="1:6" ht="15">
      <c r="A256" s="11" t="s">
        <v>135</v>
      </c>
      <c r="B256" t="s">
        <v>136</v>
      </c>
      <c r="C256">
        <v>19</v>
      </c>
      <c r="D256">
        <v>1.18</v>
      </c>
      <c r="E256">
        <f t="shared" si="12"/>
        <v>22.419999999999998</v>
      </c>
      <c r="F256" s="6"/>
    </row>
    <row r="257" spans="1:6" ht="15">
      <c r="A257" s="11" t="s">
        <v>60</v>
      </c>
      <c r="B257" t="s">
        <v>59</v>
      </c>
      <c r="C257">
        <v>4</v>
      </c>
      <c r="D257">
        <v>0.37</v>
      </c>
      <c r="E257">
        <f t="shared" si="12"/>
        <v>1.48</v>
      </c>
      <c r="F257" s="6"/>
    </row>
    <row r="258" spans="1:6" ht="15">
      <c r="A258" s="11" t="s">
        <v>53</v>
      </c>
      <c r="B258" t="s">
        <v>61</v>
      </c>
      <c r="C258">
        <v>5</v>
      </c>
      <c r="D258">
        <v>0.44</v>
      </c>
      <c r="E258">
        <f t="shared" si="12"/>
        <v>2.2000000000000002</v>
      </c>
      <c r="F258" s="6"/>
    </row>
    <row r="259" spans="1:6" ht="15">
      <c r="A259" s="12"/>
      <c r="B259" s="5"/>
      <c r="F259" s="6"/>
    </row>
    <row r="260" spans="1:6" ht="15">
      <c r="A260" s="12" t="s">
        <v>141</v>
      </c>
      <c r="B260" t="s">
        <v>140</v>
      </c>
      <c r="C260">
        <v>19</v>
      </c>
      <c r="D260">
        <v>0.44</v>
      </c>
      <c r="F260" s="6"/>
    </row>
    <row r="261" spans="1:6" ht="15">
      <c r="A261" s="11" t="s">
        <v>137</v>
      </c>
      <c r="B261" t="s">
        <v>64</v>
      </c>
      <c r="C261">
        <v>2</v>
      </c>
      <c r="D261">
        <v>2.48</v>
      </c>
      <c r="E261">
        <f t="shared" si="12"/>
        <v>4.96</v>
      </c>
      <c r="F261" s="6"/>
    </row>
    <row r="262" spans="1:6" ht="15">
      <c r="A262" s="11" t="s">
        <v>57</v>
      </c>
      <c r="B262" t="s">
        <v>65</v>
      </c>
      <c r="C262">
        <v>2</v>
      </c>
      <c r="D262">
        <v>0.26</v>
      </c>
      <c r="E262">
        <f t="shared" si="12"/>
        <v>0.52</v>
      </c>
      <c r="F262" s="6"/>
    </row>
    <row r="263" spans="1:6" ht="15">
      <c r="A263" s="12"/>
      <c r="F263" s="6"/>
    </row>
    <row r="264" spans="1:6" ht="15">
      <c r="A264" s="11" t="s">
        <v>138</v>
      </c>
      <c r="B264" t="s">
        <v>139</v>
      </c>
      <c r="C264">
        <v>4</v>
      </c>
      <c r="D264">
        <v>0.56000000000000005</v>
      </c>
      <c r="E264">
        <f t="shared" si="12"/>
        <v>2.2400000000000002</v>
      </c>
      <c r="F264" s="6"/>
    </row>
    <row r="265" spans="1:6" ht="15">
      <c r="A265" s="5"/>
      <c r="D265" t="s">
        <v>26</v>
      </c>
      <c r="E265">
        <f>SUM(E254:E264)</f>
        <v>141.49799999999999</v>
      </c>
      <c r="F265" s="6"/>
    </row>
    <row r="266" spans="1:6" ht="15">
      <c r="A266" s="5"/>
      <c r="D266" t="s">
        <v>27</v>
      </c>
      <c r="E266">
        <v>407.17</v>
      </c>
      <c r="F266" s="6"/>
    </row>
    <row r="267" spans="1:6" ht="15">
      <c r="A267" s="5"/>
      <c r="D267" t="s">
        <v>28</v>
      </c>
      <c r="E267">
        <f>+E266-E265</f>
        <v>265.67200000000003</v>
      </c>
      <c r="F267" s="6"/>
    </row>
    <row r="268" spans="1:6" ht="15.75" thickBot="1">
      <c r="A268" s="7"/>
      <c r="B268" s="8"/>
      <c r="C268" s="8"/>
      <c r="D268" s="8"/>
      <c r="E268" s="8"/>
      <c r="F268" s="9"/>
    </row>
    <row r="269" spans="1:6" ht="15.75" thickBot="1"/>
    <row r="270" spans="1:6" ht="15">
      <c r="A270" s="1" t="s">
        <v>142</v>
      </c>
      <c r="B270" s="2">
        <v>46139</v>
      </c>
      <c r="C270" s="3"/>
      <c r="D270" s="3"/>
      <c r="E270" s="3"/>
      <c r="F270" s="4"/>
    </row>
    <row r="271" spans="1:6" ht="15">
      <c r="A271" s="5" t="s">
        <v>143</v>
      </c>
      <c r="B271" s="10" t="s">
        <v>145</v>
      </c>
      <c r="F271" s="6"/>
    </row>
    <row r="272" spans="1:6" ht="15">
      <c r="A272" s="5" t="s">
        <v>144</v>
      </c>
      <c r="B272" s="10" t="s">
        <v>146</v>
      </c>
      <c r="F272" s="6"/>
    </row>
    <row r="273" spans="1:6" ht="15">
      <c r="A273" s="5"/>
      <c r="B273" s="10"/>
      <c r="F273" s="6"/>
    </row>
    <row r="274" spans="1:6" ht="15">
      <c r="A274" s="5"/>
      <c r="B274" s="10"/>
      <c r="F274" s="6"/>
    </row>
    <row r="275" spans="1:6" ht="15">
      <c r="A275" s="5"/>
      <c r="B275" s="10"/>
      <c r="F275" s="6"/>
    </row>
    <row r="276" spans="1:6" ht="15">
      <c r="A276" s="5"/>
      <c r="B276" s="10"/>
      <c r="F276" s="6"/>
    </row>
    <row r="277" spans="1:6" ht="15">
      <c r="A277" s="5"/>
      <c r="F277" s="6"/>
    </row>
    <row r="278" spans="1:6" ht="15">
      <c r="A278" s="5" t="s">
        <v>3</v>
      </c>
      <c r="B278" t="s">
        <v>12</v>
      </c>
      <c r="C278" t="s">
        <v>11</v>
      </c>
      <c r="D278" t="s">
        <v>22</v>
      </c>
      <c r="E278" t="s">
        <v>25</v>
      </c>
      <c r="F278" s="6"/>
    </row>
    <row r="279" spans="1:6" ht="15">
      <c r="A279" s="5"/>
      <c r="F279" s="6"/>
    </row>
    <row r="280" spans="1:6" ht="15">
      <c r="A280" s="11" t="s">
        <v>133</v>
      </c>
      <c r="B280" t="s">
        <v>134</v>
      </c>
      <c r="C280">
        <v>25</v>
      </c>
      <c r="D280">
        <v>4.407</v>
      </c>
      <c r="E280">
        <f t="shared" ref="E280:E284" si="13">+D280*C280</f>
        <v>110.175</v>
      </c>
      <c r="F280" s="6"/>
    </row>
    <row r="281" spans="1:6" ht="15">
      <c r="A281" s="11" t="s">
        <v>118</v>
      </c>
      <c r="B281" t="s">
        <v>119</v>
      </c>
      <c r="C281">
        <v>19</v>
      </c>
      <c r="D281">
        <v>2.42</v>
      </c>
      <c r="E281">
        <f t="shared" si="13"/>
        <v>45.98</v>
      </c>
      <c r="F281" s="6"/>
    </row>
    <row r="282" spans="1:6" ht="15">
      <c r="A282" s="11" t="s">
        <v>135</v>
      </c>
      <c r="B282" t="s">
        <v>136</v>
      </c>
      <c r="C282">
        <v>19</v>
      </c>
      <c r="D282">
        <v>1.18</v>
      </c>
      <c r="E282">
        <f t="shared" si="13"/>
        <v>22.419999999999998</v>
      </c>
      <c r="F282" s="6"/>
    </row>
    <row r="283" spans="1:6" ht="15">
      <c r="A283" s="11" t="s">
        <v>60</v>
      </c>
      <c r="B283" t="s">
        <v>59</v>
      </c>
      <c r="C283">
        <v>4</v>
      </c>
      <c r="D283">
        <v>0.37</v>
      </c>
      <c r="E283">
        <f t="shared" si="13"/>
        <v>1.48</v>
      </c>
      <c r="F283" s="6"/>
    </row>
    <row r="284" spans="1:6" ht="15">
      <c r="A284" s="11" t="s">
        <v>53</v>
      </c>
      <c r="B284" t="s">
        <v>61</v>
      </c>
      <c r="C284">
        <v>6</v>
      </c>
      <c r="D284">
        <v>0.44</v>
      </c>
      <c r="E284">
        <f t="shared" si="13"/>
        <v>2.64</v>
      </c>
      <c r="F284" s="6"/>
    </row>
    <row r="285" spans="1:6" ht="15">
      <c r="A285" s="12"/>
      <c r="B285" s="5"/>
      <c r="F285" s="6"/>
    </row>
    <row r="286" spans="1:6" ht="15">
      <c r="A286" s="11" t="s">
        <v>141</v>
      </c>
      <c r="B286" t="s">
        <v>140</v>
      </c>
      <c r="C286">
        <v>19</v>
      </c>
      <c r="D286">
        <v>0.44</v>
      </c>
      <c r="F286" s="6"/>
    </row>
    <row r="287" spans="1:6" ht="15">
      <c r="A287" s="11" t="s">
        <v>137</v>
      </c>
      <c r="B287" t="s">
        <v>64</v>
      </c>
      <c r="C287">
        <v>2</v>
      </c>
      <c r="D287">
        <v>2.48</v>
      </c>
      <c r="E287">
        <f t="shared" ref="E287:E288" si="14">+D287*C287</f>
        <v>4.96</v>
      </c>
      <c r="F287" s="6"/>
    </row>
    <row r="288" spans="1:6" ht="15">
      <c r="A288" s="11" t="s">
        <v>57</v>
      </c>
      <c r="B288" t="s">
        <v>65</v>
      </c>
      <c r="C288">
        <v>2</v>
      </c>
      <c r="D288">
        <v>0.26</v>
      </c>
      <c r="E288">
        <f t="shared" si="14"/>
        <v>0.52</v>
      </c>
      <c r="F288" s="6"/>
    </row>
    <row r="289" spans="1:6" ht="15">
      <c r="A289" s="12"/>
      <c r="F289" s="6"/>
    </row>
    <row r="290" spans="1:6" ht="15">
      <c r="A290" s="11" t="s">
        <v>138</v>
      </c>
      <c r="B290" t="s">
        <v>139</v>
      </c>
      <c r="C290">
        <v>4</v>
      </c>
      <c r="D290">
        <v>0.56000000000000005</v>
      </c>
      <c r="E290">
        <f t="shared" ref="E290" si="15">+D290*C290</f>
        <v>2.2400000000000002</v>
      </c>
      <c r="F290" s="6"/>
    </row>
    <row r="291" spans="1:6" ht="15">
      <c r="A291" s="5"/>
      <c r="D291" t="s">
        <v>26</v>
      </c>
      <c r="E291">
        <f>SUM(E280:E290)</f>
        <v>190.41499999999999</v>
      </c>
      <c r="F291" s="6"/>
    </row>
    <row r="292" spans="1:6" ht="15">
      <c r="A292" s="5"/>
      <c r="D292" t="s">
        <v>27</v>
      </c>
      <c r="E292">
        <v>473.92</v>
      </c>
      <c r="F292" s="6"/>
    </row>
    <row r="293" spans="1:6" ht="15">
      <c r="A293" s="5"/>
      <c r="D293" t="s">
        <v>28</v>
      </c>
      <c r="E293">
        <f>+E292-E291</f>
        <v>283.505</v>
      </c>
      <c r="F293" s="6"/>
    </row>
    <row r="294" spans="1:6" ht="15.75" thickBot="1">
      <c r="A294" s="7"/>
      <c r="B294" s="8"/>
      <c r="C294" s="8"/>
      <c r="D294" s="8"/>
      <c r="E294" s="8"/>
      <c r="F294" s="9"/>
    </row>
    <row r="295" spans="1:6" ht="15.75" thickBot="1"/>
    <row r="296" spans="1:6" ht="15">
      <c r="A296" s="1" t="s">
        <v>1</v>
      </c>
      <c r="B296" s="2">
        <v>46140</v>
      </c>
      <c r="C296" s="3"/>
      <c r="D296" s="3"/>
      <c r="E296" s="3"/>
      <c r="F296" s="4"/>
    </row>
    <row r="297" spans="1:6" ht="15">
      <c r="A297" s="5" t="s">
        <v>147</v>
      </c>
      <c r="B297" t="s">
        <v>149</v>
      </c>
      <c r="F297" s="6"/>
    </row>
    <row r="298" spans="1:6" ht="15">
      <c r="A298" s="5" t="s">
        <v>148</v>
      </c>
      <c r="F298" s="6"/>
    </row>
    <row r="299" spans="1:6" ht="15">
      <c r="A299" s="5"/>
      <c r="F299" s="6"/>
    </row>
    <row r="300" spans="1:6" ht="15">
      <c r="A300" s="5" t="s">
        <v>3</v>
      </c>
      <c r="B300" t="s">
        <v>12</v>
      </c>
      <c r="C300" t="s">
        <v>11</v>
      </c>
      <c r="D300" t="s">
        <v>22</v>
      </c>
      <c r="E300" t="s">
        <v>25</v>
      </c>
      <c r="F300" s="6"/>
    </row>
    <row r="301" spans="1:6" ht="15">
      <c r="A301" s="11" t="s">
        <v>110</v>
      </c>
      <c r="B301" t="s">
        <v>109</v>
      </c>
      <c r="C301">
        <v>11</v>
      </c>
      <c r="D301">
        <v>3.67</v>
      </c>
      <c r="E301">
        <f>+D301*C301</f>
        <v>40.369999999999997</v>
      </c>
      <c r="F301" s="6"/>
    </row>
    <row r="302" spans="1:6" ht="15">
      <c r="A302" s="11" t="s">
        <v>5</v>
      </c>
      <c r="B302" t="s">
        <v>14</v>
      </c>
      <c r="C302">
        <v>19</v>
      </c>
      <c r="D302">
        <v>0.81799999999999995</v>
      </c>
      <c r="E302">
        <f t="shared" ref="E302:E308" si="16">+D302*C302</f>
        <v>15.542</v>
      </c>
      <c r="F302" s="6"/>
    </row>
    <row r="303" spans="1:6" ht="15">
      <c r="A303" s="11"/>
      <c r="F303" s="6"/>
    </row>
    <row r="304" spans="1:6" ht="15">
      <c r="A304" s="11" t="s">
        <v>6</v>
      </c>
      <c r="B304" t="s">
        <v>15</v>
      </c>
      <c r="C304">
        <v>2</v>
      </c>
      <c r="D304">
        <v>0.67200000000000004</v>
      </c>
      <c r="E304">
        <f t="shared" si="16"/>
        <v>1.3440000000000001</v>
      </c>
      <c r="F304" s="6"/>
    </row>
    <row r="305" spans="1:6" ht="15">
      <c r="A305" s="11" t="s">
        <v>7</v>
      </c>
      <c r="B305" t="s">
        <v>16</v>
      </c>
      <c r="C305">
        <v>2</v>
      </c>
      <c r="D305">
        <v>0.72199999999999998</v>
      </c>
      <c r="E305">
        <f t="shared" si="16"/>
        <v>1.444</v>
      </c>
      <c r="F305" s="6"/>
    </row>
    <row r="306" spans="1:6">
      <c r="A306" s="11" t="s">
        <v>8</v>
      </c>
      <c r="B306" t="s">
        <v>17</v>
      </c>
      <c r="C306">
        <v>2</v>
      </c>
      <c r="D306">
        <v>0.43</v>
      </c>
      <c r="E306">
        <f t="shared" si="16"/>
        <v>0.86</v>
      </c>
      <c r="F306" s="6"/>
    </row>
    <row r="307" spans="1:6" ht="15">
      <c r="A307" s="11" t="s">
        <v>9</v>
      </c>
      <c r="B307" t="s">
        <v>18</v>
      </c>
      <c r="C307">
        <v>2</v>
      </c>
      <c r="D307">
        <v>2.63</v>
      </c>
      <c r="E307">
        <f t="shared" si="16"/>
        <v>5.26</v>
      </c>
      <c r="F307" s="6"/>
    </row>
    <row r="308" spans="1:6" ht="15">
      <c r="A308" s="11" t="s">
        <v>10</v>
      </c>
      <c r="B308" t="s">
        <v>19</v>
      </c>
      <c r="C308">
        <v>2</v>
      </c>
      <c r="D308">
        <v>0.59</v>
      </c>
      <c r="E308">
        <f t="shared" si="16"/>
        <v>1.18</v>
      </c>
      <c r="F308" s="6"/>
    </row>
    <row r="309" spans="1:6" ht="15">
      <c r="A309" s="5"/>
      <c r="F309" s="6"/>
    </row>
    <row r="310" spans="1:6" ht="15">
      <c r="A310" s="5"/>
      <c r="D310" t="s">
        <v>26</v>
      </c>
      <c r="E310">
        <f>SUM(E301:E309)</f>
        <v>66.000000000000014</v>
      </c>
      <c r="F310" s="6">
        <f>+E310/E311</f>
        <v>0.24553571428571433</v>
      </c>
    </row>
    <row r="311" spans="1:6" ht="15">
      <c r="A311" s="5"/>
      <c r="D311" t="s">
        <v>27</v>
      </c>
      <c r="E311">
        <v>268.8</v>
      </c>
      <c r="F311" s="6"/>
    </row>
    <row r="312" spans="1:6" ht="15.75" thickBot="1">
      <c r="A312" s="7"/>
      <c r="B312" s="8"/>
      <c r="C312" s="8"/>
      <c r="D312" s="8" t="s">
        <v>28</v>
      </c>
      <c r="E312" s="8">
        <f>+E311-E310</f>
        <v>202.8</v>
      </c>
      <c r="F312" s="9"/>
    </row>
    <row r="313" spans="1:6" ht="15.75" thickBot="1"/>
    <row r="314" spans="1:6" ht="15">
      <c r="A314" s="1" t="s">
        <v>29</v>
      </c>
      <c r="B314" s="2">
        <v>46140</v>
      </c>
      <c r="C314" s="3"/>
      <c r="D314" s="3"/>
      <c r="E314" s="3"/>
      <c r="F314" s="4"/>
    </row>
    <row r="315" spans="1:6" ht="15">
      <c r="A315" s="5"/>
      <c r="B315" s="10" t="s">
        <v>152</v>
      </c>
      <c r="F315" s="6"/>
    </row>
    <row r="316" spans="1:6" ht="15">
      <c r="A316" s="5" t="s">
        <v>150</v>
      </c>
      <c r="B316" s="10" t="s">
        <v>153</v>
      </c>
      <c r="F316" s="6"/>
    </row>
    <row r="317" spans="1:6" ht="15">
      <c r="A317" s="5" t="s">
        <v>151</v>
      </c>
      <c r="B317" s="10" t="s">
        <v>154</v>
      </c>
      <c r="F317" s="6"/>
    </row>
    <row r="318" spans="1:6" ht="15">
      <c r="A318" s="5"/>
      <c r="B318" s="10" t="s">
        <v>155</v>
      </c>
      <c r="F318" s="6"/>
    </row>
    <row r="319" spans="1:6" ht="15">
      <c r="A319" s="5"/>
      <c r="B319" s="10" t="s">
        <v>156</v>
      </c>
      <c r="F319" s="6"/>
    </row>
    <row r="320" spans="1:6" ht="15">
      <c r="A320" s="5" t="s">
        <v>3</v>
      </c>
      <c r="B320" t="s">
        <v>12</v>
      </c>
      <c r="C320" t="s">
        <v>11</v>
      </c>
      <c r="D320" t="s">
        <v>22</v>
      </c>
      <c r="E320" t="s">
        <v>25</v>
      </c>
      <c r="F320" s="6"/>
    </row>
    <row r="321" spans="1:6" ht="15">
      <c r="A321" s="5"/>
      <c r="F321" s="6"/>
    </row>
    <row r="322" spans="1:6" ht="15">
      <c r="A322" s="11" t="s">
        <v>157</v>
      </c>
      <c r="B322" t="s">
        <v>158</v>
      </c>
      <c r="C322">
        <v>10.68</v>
      </c>
      <c r="D322">
        <v>3.37</v>
      </c>
      <c r="E322">
        <f t="shared" ref="E322:E330" si="17">+D322*C322</f>
        <v>35.991599999999998</v>
      </c>
      <c r="F322" s="6"/>
    </row>
    <row r="323" spans="1:6" ht="15">
      <c r="A323" s="5"/>
      <c r="F323" s="6"/>
    </row>
    <row r="324" spans="1:6" ht="15">
      <c r="A324" s="5"/>
      <c r="F324" s="6"/>
    </row>
    <row r="325" spans="1:6">
      <c r="A325" s="11" t="s">
        <v>23</v>
      </c>
      <c r="B325" t="s">
        <v>24</v>
      </c>
      <c r="C325">
        <v>38</v>
      </c>
      <c r="D325">
        <v>0.55400000000000005</v>
      </c>
      <c r="E325">
        <f t="shared" si="17"/>
        <v>21.052000000000003</v>
      </c>
      <c r="F325" s="6"/>
    </row>
    <row r="326" spans="1:6" ht="15">
      <c r="A326" s="5" t="s">
        <v>6</v>
      </c>
      <c r="B326" t="s">
        <v>15</v>
      </c>
      <c r="C326">
        <v>5</v>
      </c>
      <c r="D326">
        <v>0.67200000000000004</v>
      </c>
      <c r="E326">
        <f t="shared" si="17"/>
        <v>3.3600000000000003</v>
      </c>
      <c r="F326" s="6"/>
    </row>
    <row r="327" spans="1:6" ht="15">
      <c r="A327" s="5" t="s">
        <v>7</v>
      </c>
      <c r="B327" t="s">
        <v>16</v>
      </c>
      <c r="C327">
        <v>5</v>
      </c>
      <c r="D327">
        <v>0.72199999999999998</v>
      </c>
      <c r="E327">
        <f t="shared" si="17"/>
        <v>3.61</v>
      </c>
      <c r="F327" s="6"/>
    </row>
    <row r="328" spans="1:6">
      <c r="A328" s="5" t="s">
        <v>8</v>
      </c>
      <c r="B328" t="s">
        <v>17</v>
      </c>
      <c r="C328">
        <v>5</v>
      </c>
      <c r="D328">
        <v>0.43</v>
      </c>
      <c r="E328">
        <f t="shared" si="17"/>
        <v>2.15</v>
      </c>
      <c r="F328" s="6"/>
    </row>
    <row r="329" spans="1:6" ht="15">
      <c r="A329" s="5" t="s">
        <v>9</v>
      </c>
      <c r="B329" t="s">
        <v>18</v>
      </c>
      <c r="C329">
        <v>5</v>
      </c>
      <c r="D329">
        <v>2.63</v>
      </c>
      <c r="E329">
        <f t="shared" si="17"/>
        <v>13.149999999999999</v>
      </c>
      <c r="F329" s="6"/>
    </row>
    <row r="330" spans="1:6" ht="15">
      <c r="A330" s="5" t="s">
        <v>8</v>
      </c>
      <c r="B330" t="s">
        <v>19</v>
      </c>
      <c r="C330">
        <v>5</v>
      </c>
      <c r="D330">
        <v>0.59</v>
      </c>
      <c r="E330">
        <f t="shared" si="17"/>
        <v>2.9499999999999997</v>
      </c>
      <c r="F330" s="6"/>
    </row>
    <row r="331" spans="1:6" ht="15">
      <c r="A331" s="5"/>
      <c r="F331" s="6"/>
    </row>
    <row r="332" spans="1:6" ht="15">
      <c r="A332" s="5"/>
      <c r="D332" t="s">
        <v>26</v>
      </c>
      <c r="E332">
        <f>SUM(E322:E331)</f>
        <v>82.263600000000011</v>
      </c>
      <c r="F332" s="6"/>
    </row>
    <row r="333" spans="1:6" ht="15">
      <c r="A333" s="5"/>
      <c r="D333" t="s">
        <v>27</v>
      </c>
      <c r="E333">
        <v>359.04</v>
      </c>
      <c r="F333" s="6"/>
    </row>
    <row r="334" spans="1:6" ht="15.75" thickBot="1">
      <c r="A334" s="7"/>
      <c r="B334" s="8"/>
      <c r="C334" s="8"/>
      <c r="D334" s="8" t="s">
        <v>28</v>
      </c>
      <c r="E334" s="8">
        <f>+E333-E332</f>
        <v>276.77640000000002</v>
      </c>
      <c r="F334" s="6"/>
    </row>
    <row r="335" spans="1:6" ht="15">
      <c r="A335" s="5"/>
      <c r="F335" s="6"/>
    </row>
    <row r="336" spans="1:6" ht="15">
      <c r="A336" s="5"/>
      <c r="F336" s="6"/>
    </row>
    <row r="337" spans="1:6" ht="15.75" thickBot="1">
      <c r="A337" s="7"/>
      <c r="B337" s="8"/>
      <c r="C337" s="8"/>
      <c r="D337" s="8"/>
      <c r="E337" s="8"/>
      <c r="F337" s="9"/>
    </row>
    <row r="338" spans="1:6" ht="15.75" thickBot="1"/>
    <row r="339" spans="1:6" ht="15">
      <c r="A339" s="1" t="s">
        <v>29</v>
      </c>
      <c r="B339" s="2">
        <v>46140</v>
      </c>
      <c r="C339" s="3"/>
      <c r="D339" s="3"/>
      <c r="E339" s="3"/>
      <c r="F339" s="4"/>
    </row>
    <row r="340" spans="1:6" ht="15">
      <c r="A340" s="5"/>
      <c r="B340" s="10" t="s">
        <v>79</v>
      </c>
      <c r="F340" s="6"/>
    </row>
    <row r="341" spans="1:6" ht="15">
      <c r="A341" s="5" t="s">
        <v>159</v>
      </c>
      <c r="F341" s="6"/>
    </row>
    <row r="342" spans="1:6" ht="15">
      <c r="A342" s="5" t="s">
        <v>160</v>
      </c>
      <c r="F342" s="6"/>
    </row>
    <row r="343" spans="1:6" ht="15">
      <c r="A343" s="5"/>
      <c r="F343" s="6"/>
    </row>
    <row r="344" spans="1:6" ht="15">
      <c r="A344" s="5" t="s">
        <v>3</v>
      </c>
      <c r="B344" t="s">
        <v>12</v>
      </c>
      <c r="C344" t="s">
        <v>11</v>
      </c>
      <c r="D344" t="s">
        <v>22</v>
      </c>
      <c r="E344" t="s">
        <v>25</v>
      </c>
      <c r="F344" s="6"/>
    </row>
    <row r="345" spans="1:6" ht="15">
      <c r="A345" s="5"/>
      <c r="F345" s="6"/>
    </row>
    <row r="346" spans="1:6" ht="15">
      <c r="A346" s="5"/>
      <c r="F346" s="6"/>
    </row>
    <row r="347" spans="1:6" ht="15">
      <c r="A347" s="5"/>
      <c r="F347" s="6"/>
    </row>
    <row r="348" spans="1:6" ht="15">
      <c r="A348" s="5"/>
      <c r="F348" s="6"/>
    </row>
    <row r="349" spans="1:6" ht="15">
      <c r="A349" s="5"/>
      <c r="F349" s="6"/>
    </row>
    <row r="350" spans="1:6" ht="15">
      <c r="A350" s="5" t="s">
        <v>6</v>
      </c>
      <c r="B350" t="s">
        <v>15</v>
      </c>
      <c r="C350">
        <v>1</v>
      </c>
      <c r="D350">
        <v>0.67200000000000004</v>
      </c>
      <c r="E350">
        <f t="shared" ref="E350:E354" si="18">+D350*C350</f>
        <v>0.67200000000000004</v>
      </c>
      <c r="F350" s="6"/>
    </row>
    <row r="351" spans="1:6" ht="15">
      <c r="A351" s="5" t="s">
        <v>7</v>
      </c>
      <c r="B351" t="s">
        <v>16</v>
      </c>
      <c r="C351">
        <v>1</v>
      </c>
      <c r="D351">
        <v>0.72199999999999998</v>
      </c>
      <c r="E351">
        <f t="shared" si="18"/>
        <v>0.72199999999999998</v>
      </c>
      <c r="F351" s="6"/>
    </row>
    <row r="352" spans="1:6" ht="15">
      <c r="A352" s="5" t="s">
        <v>9</v>
      </c>
      <c r="B352" t="s">
        <v>18</v>
      </c>
      <c r="C352">
        <v>1</v>
      </c>
      <c r="D352">
        <v>2.63</v>
      </c>
      <c r="E352">
        <f t="shared" si="18"/>
        <v>2.63</v>
      </c>
      <c r="F352" s="6"/>
    </row>
    <row r="353" spans="1:6" ht="15">
      <c r="A353" s="5" t="s">
        <v>80</v>
      </c>
      <c r="B353" t="s">
        <v>81</v>
      </c>
      <c r="C353">
        <v>1</v>
      </c>
      <c r="D353">
        <v>0.59</v>
      </c>
      <c r="E353">
        <f t="shared" si="18"/>
        <v>0.59</v>
      </c>
      <c r="F353" s="6"/>
    </row>
    <row r="354" spans="1:6">
      <c r="A354" s="5" t="s">
        <v>8</v>
      </c>
      <c r="B354" t="s">
        <v>82</v>
      </c>
      <c r="C354">
        <v>1</v>
      </c>
      <c r="D354">
        <v>0.43</v>
      </c>
      <c r="E354">
        <f t="shared" si="18"/>
        <v>0.43</v>
      </c>
      <c r="F354" s="6"/>
    </row>
    <row r="355" spans="1:6" ht="15">
      <c r="A355" s="5"/>
      <c r="F355" s="6"/>
    </row>
    <row r="356" spans="1:6" ht="15">
      <c r="A356" s="5"/>
      <c r="D356" t="s">
        <v>26</v>
      </c>
      <c r="E356">
        <f>SUM(E347:E355)</f>
        <v>5.0439999999999996</v>
      </c>
      <c r="F356" s="6"/>
    </row>
    <row r="357" spans="1:6" ht="15">
      <c r="A357" s="5"/>
      <c r="D357" t="s">
        <v>27</v>
      </c>
      <c r="E357">
        <v>44</v>
      </c>
      <c r="F357" s="6"/>
    </row>
    <row r="358" spans="1:6" ht="15.75" thickBot="1">
      <c r="A358" s="7"/>
      <c r="B358" s="8"/>
      <c r="C358" s="8"/>
      <c r="D358" s="8" t="s">
        <v>28</v>
      </c>
      <c r="E358" s="8">
        <f>+E357-E356</f>
        <v>38.956000000000003</v>
      </c>
      <c r="F358" s="6"/>
    </row>
    <row r="359" spans="1:6" ht="15.75" thickBot="1">
      <c r="A359" s="5"/>
      <c r="F359" s="6"/>
    </row>
    <row r="360" spans="1:6" ht="15">
      <c r="A360" s="1" t="s">
        <v>29</v>
      </c>
      <c r="B360" s="2">
        <v>46140</v>
      </c>
      <c r="C360" s="3"/>
      <c r="D360" s="3"/>
      <c r="E360" s="3"/>
      <c r="F360" s="4"/>
    </row>
    <row r="361" spans="1:6" ht="15">
      <c r="A361" s="5" t="s">
        <v>161</v>
      </c>
      <c r="B361" s="10" t="s">
        <v>163</v>
      </c>
      <c r="F361" s="6"/>
    </row>
    <row r="362" spans="1:6" ht="15">
      <c r="A362" s="5" t="s">
        <v>162</v>
      </c>
      <c r="B362" s="10" t="s">
        <v>164</v>
      </c>
      <c r="F362" s="6"/>
    </row>
    <row r="363" spans="1:6" ht="15">
      <c r="B363" s="10" t="s">
        <v>165</v>
      </c>
      <c r="F363" s="6"/>
    </row>
    <row r="364" spans="1:6" ht="15">
      <c r="A364" s="5"/>
      <c r="B364" s="10" t="s">
        <v>166</v>
      </c>
      <c r="F364" s="6"/>
    </row>
    <row r="366" spans="1:6" ht="15">
      <c r="A366" s="5"/>
      <c r="F366" s="6"/>
    </row>
    <row r="367" spans="1:6" ht="15">
      <c r="A367" s="5" t="s">
        <v>3</v>
      </c>
      <c r="B367" t="s">
        <v>12</v>
      </c>
      <c r="C367" t="s">
        <v>11</v>
      </c>
      <c r="D367" t="s">
        <v>22</v>
      </c>
      <c r="E367" t="s">
        <v>25</v>
      </c>
      <c r="F367" s="6"/>
    </row>
    <row r="368" spans="1:6" ht="15">
      <c r="A368" s="5" t="s">
        <v>84</v>
      </c>
      <c r="B368" t="s">
        <v>87</v>
      </c>
      <c r="C368">
        <v>22</v>
      </c>
      <c r="D368">
        <v>3.86</v>
      </c>
      <c r="E368">
        <f t="shared" ref="E368:E376" si="19">+D368*C368</f>
        <v>84.92</v>
      </c>
      <c r="F368" s="6"/>
    </row>
    <row r="369" spans="1:6" ht="15">
      <c r="A369" s="5" t="s">
        <v>169</v>
      </c>
      <c r="B369" t="s">
        <v>170</v>
      </c>
      <c r="C369">
        <v>12</v>
      </c>
      <c r="D369">
        <v>3.9</v>
      </c>
      <c r="E369">
        <f t="shared" si="19"/>
        <v>46.8</v>
      </c>
      <c r="F369" s="6"/>
    </row>
    <row r="370" spans="1:6" ht="15">
      <c r="A370" s="5"/>
      <c r="F370" s="6"/>
    </row>
    <row r="371" spans="1:6">
      <c r="A371" s="5" t="s">
        <v>23</v>
      </c>
      <c r="B371" t="s">
        <v>24</v>
      </c>
      <c r="C371">
        <v>19</v>
      </c>
      <c r="D371">
        <v>0.55400000000000005</v>
      </c>
      <c r="E371">
        <f t="shared" si="19"/>
        <v>10.526000000000002</v>
      </c>
      <c r="F371" s="6"/>
    </row>
    <row r="372" spans="1:6" ht="15">
      <c r="A372" s="5" t="s">
        <v>6</v>
      </c>
      <c r="B372" t="s">
        <v>15</v>
      </c>
      <c r="C372">
        <v>4</v>
      </c>
      <c r="D372">
        <v>0.67200000000000004</v>
      </c>
      <c r="E372">
        <f t="shared" si="19"/>
        <v>2.6880000000000002</v>
      </c>
      <c r="F372" s="6"/>
    </row>
    <row r="373" spans="1:6" ht="15">
      <c r="A373" s="5" t="s">
        <v>7</v>
      </c>
      <c r="B373" t="s">
        <v>16</v>
      </c>
      <c r="C373">
        <v>4</v>
      </c>
      <c r="D373">
        <v>0.72199999999999998</v>
      </c>
      <c r="E373">
        <f t="shared" si="19"/>
        <v>2.8879999999999999</v>
      </c>
      <c r="F373" s="6"/>
    </row>
    <row r="374" spans="1:6" ht="15">
      <c r="A374" s="5" t="s">
        <v>33</v>
      </c>
      <c r="B374" t="s">
        <v>18</v>
      </c>
      <c r="C374">
        <v>4</v>
      </c>
      <c r="D374">
        <v>2.63</v>
      </c>
      <c r="E374">
        <f t="shared" si="19"/>
        <v>10.52</v>
      </c>
      <c r="F374" s="6"/>
    </row>
    <row r="375" spans="1:6" ht="15">
      <c r="A375" s="5" t="s">
        <v>86</v>
      </c>
      <c r="B375" t="s">
        <v>81</v>
      </c>
      <c r="C375">
        <v>4</v>
      </c>
      <c r="D375">
        <v>0.59</v>
      </c>
      <c r="E375">
        <f t="shared" si="19"/>
        <v>2.36</v>
      </c>
      <c r="F375" s="6"/>
    </row>
    <row r="376" spans="1:6">
      <c r="A376" s="5" t="s">
        <v>8</v>
      </c>
      <c r="B376" t="s">
        <v>82</v>
      </c>
      <c r="C376">
        <v>4</v>
      </c>
      <c r="D376">
        <v>0.43</v>
      </c>
      <c r="E376">
        <f t="shared" si="19"/>
        <v>1.72</v>
      </c>
      <c r="F376" s="6"/>
    </row>
    <row r="377" spans="1:6" ht="15">
      <c r="A377" s="5"/>
      <c r="F377" s="6"/>
    </row>
    <row r="378" spans="1:6" ht="15">
      <c r="A378" s="5"/>
      <c r="D378" t="s">
        <v>26</v>
      </c>
      <c r="E378">
        <f>SUM(E368:E377)</f>
        <v>162.42200000000003</v>
      </c>
      <c r="F378" s="6"/>
    </row>
    <row r="379" spans="1:6" ht="15">
      <c r="A379" s="5"/>
      <c r="D379" t="s">
        <v>27</v>
      </c>
      <c r="E379">
        <v>892.8</v>
      </c>
      <c r="F379" s="6"/>
    </row>
    <row r="380" spans="1:6" ht="15.75" thickBot="1">
      <c r="A380" s="7"/>
      <c r="B380" s="8"/>
      <c r="C380" s="8"/>
      <c r="D380" s="8" t="s">
        <v>28</v>
      </c>
      <c r="E380" s="8">
        <f>+E379-E378</f>
        <v>730.37799999999993</v>
      </c>
      <c r="F380" s="6"/>
    </row>
    <row r="381" spans="1:6" ht="15">
      <c r="A381" s="5"/>
      <c r="F381" s="6"/>
    </row>
    <row r="382" spans="1:6" ht="15">
      <c r="A382" s="5"/>
      <c r="F382" s="6"/>
    </row>
    <row r="383" spans="1:6" ht="15.75" thickBot="1">
      <c r="A383" s="7"/>
      <c r="B383" s="8"/>
      <c r="C383" s="8"/>
      <c r="D383" s="8"/>
      <c r="E383" s="8"/>
      <c r="F383" s="9"/>
    </row>
    <row r="384" spans="1:6" ht="15.75" thickBot="1"/>
    <row r="385" spans="1:6" ht="15">
      <c r="A385" s="1" t="s">
        <v>167</v>
      </c>
      <c r="B385" s="2">
        <v>46140</v>
      </c>
      <c r="C385" s="3"/>
      <c r="D385" s="3"/>
      <c r="E385" s="3"/>
      <c r="F385" s="4"/>
    </row>
    <row r="386" spans="1:6" ht="15">
      <c r="A386" s="5"/>
      <c r="B386" s="10" t="s">
        <v>168</v>
      </c>
      <c r="F386" s="6"/>
    </row>
    <row r="387" spans="1:6" ht="15">
      <c r="A387" s="5"/>
      <c r="B387" s="10"/>
      <c r="F387" s="6"/>
    </row>
    <row r="388" spans="1:6" ht="15">
      <c r="A388" s="5" t="s">
        <v>3</v>
      </c>
      <c r="B388" t="s">
        <v>12</v>
      </c>
      <c r="C388" t="s">
        <v>11</v>
      </c>
      <c r="D388" t="s">
        <v>22</v>
      </c>
      <c r="E388" t="s">
        <v>25</v>
      </c>
      <c r="F388" s="6"/>
    </row>
    <row r="389" spans="1:6" ht="15">
      <c r="A389" s="5"/>
      <c r="F389" s="6"/>
    </row>
    <row r="390" spans="1:6" ht="15">
      <c r="A390" s="12"/>
      <c r="F390" s="6"/>
    </row>
    <row r="391" spans="1:6" ht="15">
      <c r="A391" s="12"/>
      <c r="F391" s="6"/>
    </row>
    <row r="392" spans="1:6" ht="15">
      <c r="A392" s="12"/>
      <c r="F392" s="6"/>
    </row>
    <row r="393" spans="1:6" ht="15">
      <c r="A393" s="11" t="s">
        <v>60</v>
      </c>
      <c r="B393" t="s">
        <v>59</v>
      </c>
      <c r="C393">
        <v>2</v>
      </c>
      <c r="D393">
        <v>0.38</v>
      </c>
      <c r="E393">
        <f t="shared" ref="E393:E400" si="20">+D393*C393</f>
        <v>0.76</v>
      </c>
      <c r="F393" s="6"/>
    </row>
    <row r="394" spans="1:6" ht="15">
      <c r="A394" s="11" t="s">
        <v>53</v>
      </c>
      <c r="B394" t="s">
        <v>61</v>
      </c>
      <c r="C394">
        <v>3</v>
      </c>
      <c r="D394">
        <v>0.44</v>
      </c>
      <c r="E394">
        <f t="shared" si="20"/>
        <v>1.32</v>
      </c>
      <c r="F394" s="6"/>
    </row>
    <row r="395" spans="1:6">
      <c r="A395" s="12"/>
      <c r="B395" s="5" t="s">
        <v>62</v>
      </c>
      <c r="C395">
        <v>38</v>
      </c>
      <c r="D395">
        <v>0.55000000000000004</v>
      </c>
      <c r="E395">
        <f t="shared" si="20"/>
        <v>20.900000000000002</v>
      </c>
      <c r="F395" s="6"/>
    </row>
    <row r="396" spans="1:6" ht="15">
      <c r="A396" s="12"/>
      <c r="F396" s="6"/>
    </row>
    <row r="397" spans="1:6" ht="15">
      <c r="A397" s="11" t="s">
        <v>9</v>
      </c>
      <c r="B397" t="s">
        <v>122</v>
      </c>
      <c r="C397">
        <v>1</v>
      </c>
      <c r="D397">
        <v>2.62</v>
      </c>
      <c r="E397">
        <f t="shared" si="20"/>
        <v>2.62</v>
      </c>
      <c r="F397" s="6"/>
    </row>
    <row r="398" spans="1:6" ht="15">
      <c r="A398" s="11" t="s">
        <v>57</v>
      </c>
      <c r="B398" t="s">
        <v>65</v>
      </c>
      <c r="C398">
        <v>1</v>
      </c>
      <c r="D398">
        <v>0.27</v>
      </c>
      <c r="E398">
        <f t="shared" si="20"/>
        <v>0.27</v>
      </c>
      <c r="F398" s="6"/>
    </row>
    <row r="399" spans="1:6" ht="15">
      <c r="A399" s="5"/>
      <c r="F399" s="6"/>
    </row>
    <row r="400" spans="1:6" ht="15">
      <c r="A400" s="11" t="s">
        <v>68</v>
      </c>
      <c r="B400" t="s">
        <v>69</v>
      </c>
      <c r="C400">
        <v>2</v>
      </c>
      <c r="D400">
        <v>0.56000000000000005</v>
      </c>
      <c r="E400">
        <f t="shared" si="20"/>
        <v>1.1200000000000001</v>
      </c>
      <c r="F400" s="6"/>
    </row>
    <row r="401" spans="1:6" ht="15">
      <c r="A401" s="5"/>
      <c r="D401" t="s">
        <v>26</v>
      </c>
      <c r="E401">
        <f>SUM(E390:E400)</f>
        <v>26.990000000000006</v>
      </c>
      <c r="F401" s="6"/>
    </row>
    <row r="402" spans="1:6" ht="15">
      <c r="A402" s="5"/>
      <c r="D402" t="s">
        <v>27</v>
      </c>
      <c r="E402">
        <v>238.99</v>
      </c>
      <c r="F402" s="6"/>
    </row>
    <row r="403" spans="1:6" ht="15">
      <c r="A403" s="5"/>
      <c r="D403" t="s">
        <v>28</v>
      </c>
      <c r="E403">
        <f>+E402-E401</f>
        <v>212</v>
      </c>
      <c r="F403" s="6"/>
    </row>
    <row r="404" spans="1:6" ht="15.75" thickBot="1">
      <c r="A404" s="7"/>
      <c r="B404" s="8"/>
      <c r="C404" s="8"/>
      <c r="D404" s="8"/>
      <c r="E404" s="8"/>
      <c r="F404" s="9"/>
    </row>
    <row r="405" spans="1:6" ht="15.75" thickBot="1"/>
    <row r="406" spans="1:6" ht="15">
      <c r="A406" s="1" t="s">
        <v>142</v>
      </c>
      <c r="B406" s="2">
        <v>46141</v>
      </c>
      <c r="C406" s="3"/>
      <c r="D406" s="3"/>
      <c r="E406" s="3"/>
      <c r="F406" s="4"/>
    </row>
    <row r="407" spans="1:6" ht="15">
      <c r="A407" s="5" t="s">
        <v>78</v>
      </c>
      <c r="B407" s="10" t="s">
        <v>172</v>
      </c>
      <c r="F407" s="6"/>
    </row>
    <row r="408" spans="1:6" ht="15">
      <c r="A408" s="5" t="s">
        <v>171</v>
      </c>
      <c r="B408" s="10"/>
      <c r="F408" s="6"/>
    </row>
    <row r="409" spans="1:6" ht="15">
      <c r="A409" s="5" t="s">
        <v>3</v>
      </c>
      <c r="B409" t="s">
        <v>12</v>
      </c>
      <c r="C409" t="s">
        <v>11</v>
      </c>
      <c r="D409" t="s">
        <v>22</v>
      </c>
      <c r="E409" t="s">
        <v>25</v>
      </c>
      <c r="F409" s="6"/>
    </row>
    <row r="410" spans="1:6" ht="15">
      <c r="A410" s="5"/>
      <c r="F410" s="6"/>
    </row>
    <row r="411" spans="1:6" ht="15">
      <c r="A411" s="11" t="s">
        <v>50</v>
      </c>
      <c r="B411" t="s">
        <v>173</v>
      </c>
      <c r="C411">
        <v>9</v>
      </c>
      <c r="D411">
        <v>4.3499999999999996</v>
      </c>
      <c r="E411">
        <f t="shared" ref="E411:E415" si="21">+D411*C411</f>
        <v>39.15</v>
      </c>
      <c r="F411" s="6"/>
    </row>
    <row r="412" spans="1:6" ht="15">
      <c r="A412" s="12"/>
      <c r="F412" s="6"/>
    </row>
    <row r="413" spans="1:6" ht="15">
      <c r="A413" s="12"/>
      <c r="F413" s="6"/>
    </row>
    <row r="414" spans="1:6" ht="15">
      <c r="A414" s="11" t="s">
        <v>60</v>
      </c>
      <c r="B414" t="s">
        <v>59</v>
      </c>
      <c r="C414">
        <v>2</v>
      </c>
      <c r="D414">
        <v>0.37</v>
      </c>
      <c r="E414">
        <f t="shared" si="21"/>
        <v>0.74</v>
      </c>
      <c r="F414" s="6"/>
    </row>
    <row r="415" spans="1:6" ht="15">
      <c r="A415" s="11" t="s">
        <v>53</v>
      </c>
      <c r="B415" t="s">
        <v>61</v>
      </c>
      <c r="C415">
        <v>2</v>
      </c>
      <c r="D415">
        <v>0.44</v>
      </c>
      <c r="E415">
        <f t="shared" si="21"/>
        <v>0.88</v>
      </c>
      <c r="F415" s="6"/>
    </row>
    <row r="416" spans="1:6" ht="15">
      <c r="A416" s="12"/>
      <c r="B416" s="5"/>
      <c r="F416" s="6"/>
    </row>
    <row r="417" spans="1:6" ht="15">
      <c r="A417" s="12"/>
      <c r="F417" s="6"/>
    </row>
    <row r="418" spans="1:6" ht="15">
      <c r="A418" s="11" t="s">
        <v>137</v>
      </c>
      <c r="B418" t="s">
        <v>64</v>
      </c>
      <c r="C418">
        <v>1</v>
      </c>
      <c r="D418">
        <v>2.48</v>
      </c>
      <c r="E418">
        <f t="shared" ref="E418:E420" si="22">+D418*C418</f>
        <v>2.48</v>
      </c>
      <c r="F418" s="6"/>
    </row>
    <row r="419" spans="1:6" ht="15">
      <c r="A419" s="11" t="s">
        <v>57</v>
      </c>
      <c r="B419" t="s">
        <v>65</v>
      </c>
      <c r="C419">
        <v>1</v>
      </c>
      <c r="D419">
        <v>0.26</v>
      </c>
      <c r="E419">
        <f t="shared" si="22"/>
        <v>0.26</v>
      </c>
      <c r="F419" s="6"/>
    </row>
    <row r="420" spans="1:6" ht="15">
      <c r="A420" s="11" t="s">
        <v>66</v>
      </c>
      <c r="B420" t="s">
        <v>174</v>
      </c>
      <c r="C420">
        <v>1</v>
      </c>
      <c r="D420">
        <v>0.59</v>
      </c>
      <c r="E420">
        <f t="shared" si="22"/>
        <v>0.59</v>
      </c>
      <c r="F420" s="6"/>
    </row>
    <row r="421" spans="1:6" ht="15">
      <c r="A421" s="11" t="s">
        <v>138</v>
      </c>
      <c r="B421" t="s">
        <v>139</v>
      </c>
      <c r="C421">
        <v>2</v>
      </c>
      <c r="D421">
        <v>0.56000000000000005</v>
      </c>
      <c r="E421">
        <f t="shared" ref="E421" si="23">+D421*C421</f>
        <v>1.1200000000000001</v>
      </c>
      <c r="F421" s="6"/>
    </row>
    <row r="422" spans="1:6" ht="15">
      <c r="A422" s="12"/>
      <c r="D422" t="s">
        <v>26</v>
      </c>
      <c r="E422">
        <f>SUM(E411:E421)</f>
        <v>45.22</v>
      </c>
      <c r="F422" s="6"/>
    </row>
    <row r="423" spans="1:6" ht="15">
      <c r="A423" s="12"/>
      <c r="D423" t="s">
        <v>27</v>
      </c>
      <c r="E423">
        <v>138.69999999999999</v>
      </c>
      <c r="F423" s="6"/>
    </row>
    <row r="424" spans="1:6" ht="15">
      <c r="A424" s="12"/>
      <c r="D424" t="s">
        <v>28</v>
      </c>
      <c r="E424">
        <f>+E423-E422</f>
        <v>93.47999999999999</v>
      </c>
      <c r="F424" s="6"/>
    </row>
    <row r="425" spans="1:6" ht="15.75" thickBot="1">
      <c r="A425" s="7"/>
      <c r="B425" s="8"/>
      <c r="C425" s="8"/>
      <c r="D425" s="8"/>
      <c r="E425" s="8"/>
      <c r="F425" s="9"/>
    </row>
    <row r="426" spans="1:6" ht="15.75" thickBot="1"/>
    <row r="427" spans="1:6" ht="15">
      <c r="A427" s="1" t="s">
        <v>142</v>
      </c>
      <c r="B427" s="2">
        <v>46141</v>
      </c>
      <c r="C427" s="3"/>
      <c r="D427" s="3"/>
      <c r="E427" s="3"/>
      <c r="F427" s="4"/>
    </row>
    <row r="428" spans="1:6" ht="15">
      <c r="A428" s="5"/>
      <c r="B428" s="13" t="s">
        <v>176</v>
      </c>
      <c r="C428" s="14"/>
      <c r="D428" s="14"/>
      <c r="E428" s="14"/>
      <c r="F428" s="6"/>
    </row>
    <row r="429" spans="1:6" ht="15">
      <c r="A429" s="5" t="s">
        <v>30</v>
      </c>
      <c r="B429" s="10" t="s">
        <v>177</v>
      </c>
      <c r="F429" s="6"/>
    </row>
    <row r="430" spans="1:6" ht="15">
      <c r="A430" s="5" t="s">
        <v>175</v>
      </c>
      <c r="B430" s="10"/>
      <c r="F430" s="6"/>
    </row>
    <row r="431" spans="1:6" ht="15">
      <c r="A431" s="5" t="s">
        <v>3</v>
      </c>
      <c r="B431" t="s">
        <v>12</v>
      </c>
      <c r="C431" t="s">
        <v>11</v>
      </c>
      <c r="D431" t="s">
        <v>22</v>
      </c>
      <c r="E431" t="s">
        <v>25</v>
      </c>
      <c r="F431" s="6"/>
    </row>
    <row r="432" spans="1:6" ht="15">
      <c r="A432" s="5"/>
      <c r="F432" s="6"/>
    </row>
    <row r="433" spans="1:6" ht="15">
      <c r="A433" s="11" t="s">
        <v>178</v>
      </c>
      <c r="B433" t="s">
        <v>179</v>
      </c>
      <c r="C433">
        <v>27</v>
      </c>
      <c r="D433">
        <v>7.65</v>
      </c>
      <c r="E433">
        <f t="shared" ref="E433" si="24">+D433*C433</f>
        <v>206.55</v>
      </c>
      <c r="F433" s="6"/>
    </row>
    <row r="434" spans="1:6" ht="15">
      <c r="A434" s="11" t="s">
        <v>180</v>
      </c>
      <c r="B434" t="s">
        <v>181</v>
      </c>
      <c r="C434">
        <v>19</v>
      </c>
      <c r="D434">
        <v>2.4300000000000002</v>
      </c>
      <c r="F434" s="6"/>
    </row>
    <row r="435" spans="1:6" ht="15">
      <c r="A435" s="11" t="s">
        <v>52</v>
      </c>
      <c r="B435" t="s">
        <v>182</v>
      </c>
      <c r="C435">
        <v>19</v>
      </c>
      <c r="D435">
        <v>1.1399999999999999</v>
      </c>
      <c r="F435" s="6"/>
    </row>
    <row r="436" spans="1:6" ht="15">
      <c r="A436" s="11" t="s">
        <v>60</v>
      </c>
      <c r="B436" t="s">
        <v>59</v>
      </c>
      <c r="C436">
        <v>6</v>
      </c>
      <c r="D436">
        <v>0.37</v>
      </c>
      <c r="E436">
        <f t="shared" ref="E436:E437" si="25">+D436*C436</f>
        <v>2.2199999999999998</v>
      </c>
      <c r="F436" s="6"/>
    </row>
    <row r="437" spans="1:6" ht="15">
      <c r="A437" s="11" t="s">
        <v>53</v>
      </c>
      <c r="B437" t="s">
        <v>61</v>
      </c>
      <c r="C437">
        <v>8</v>
      </c>
      <c r="D437">
        <v>0.44</v>
      </c>
      <c r="E437">
        <f t="shared" si="25"/>
        <v>3.52</v>
      </c>
      <c r="F437" s="6"/>
    </row>
    <row r="438" spans="1:6" ht="15">
      <c r="A438" s="12" t="s">
        <v>54</v>
      </c>
      <c r="B438" s="12" t="s">
        <v>63</v>
      </c>
      <c r="C438">
        <v>19</v>
      </c>
      <c r="D438">
        <v>1.25</v>
      </c>
      <c r="F438" s="6"/>
    </row>
    <row r="439" spans="1:6">
      <c r="A439" s="12" t="s">
        <v>183</v>
      </c>
      <c r="B439" t="s">
        <v>185</v>
      </c>
      <c r="C439">
        <v>19</v>
      </c>
      <c r="D439">
        <v>1.47</v>
      </c>
      <c r="F439" s="6"/>
    </row>
    <row r="440" spans="1:6" ht="15">
      <c r="A440" s="11" t="s">
        <v>137</v>
      </c>
      <c r="B440" t="s">
        <v>64</v>
      </c>
      <c r="C440">
        <v>3</v>
      </c>
      <c r="D440">
        <v>2.48</v>
      </c>
      <c r="E440">
        <f t="shared" ref="E440:E444" si="26">+D440*C440</f>
        <v>7.4399999999999995</v>
      </c>
      <c r="F440" s="6"/>
    </row>
    <row r="441" spans="1:6" ht="15">
      <c r="A441" s="11" t="s">
        <v>57</v>
      </c>
      <c r="B441" t="s">
        <v>65</v>
      </c>
      <c r="C441">
        <v>3</v>
      </c>
      <c r="D441">
        <v>0.26</v>
      </c>
      <c r="E441">
        <f t="shared" si="26"/>
        <v>0.78</v>
      </c>
      <c r="F441" s="6"/>
    </row>
    <row r="442" spans="1:6" ht="15">
      <c r="A442" s="11" t="s">
        <v>66</v>
      </c>
      <c r="B442" t="s">
        <v>174</v>
      </c>
      <c r="C442">
        <v>3</v>
      </c>
      <c r="D442">
        <v>0.59</v>
      </c>
      <c r="E442">
        <f t="shared" si="26"/>
        <v>1.77</v>
      </c>
      <c r="F442" s="6"/>
    </row>
    <row r="443" spans="1:6" ht="15">
      <c r="A443" s="11" t="s">
        <v>138</v>
      </c>
      <c r="B443" t="s">
        <v>139</v>
      </c>
      <c r="C443">
        <v>6</v>
      </c>
      <c r="D443">
        <v>0.56000000000000005</v>
      </c>
      <c r="E443">
        <f t="shared" si="26"/>
        <v>3.3600000000000003</v>
      </c>
      <c r="F443" s="6"/>
    </row>
    <row r="444" spans="1:6" ht="15">
      <c r="A444" s="12" t="s">
        <v>184</v>
      </c>
      <c r="B444" t="s">
        <v>186</v>
      </c>
      <c r="C444">
        <v>2</v>
      </c>
      <c r="D444">
        <v>0.64</v>
      </c>
      <c r="E444">
        <f t="shared" si="26"/>
        <v>1.28</v>
      </c>
      <c r="F444" s="6"/>
    </row>
    <row r="445" spans="1:6" ht="15">
      <c r="A445" s="12"/>
      <c r="D445" t="s">
        <v>26</v>
      </c>
      <c r="E445">
        <f>SUM(E433:E444)</f>
        <v>226.92000000000004</v>
      </c>
      <c r="F445" s="6"/>
    </row>
    <row r="446" spans="1:6" ht="15">
      <c r="A446" s="12"/>
      <c r="D446" t="s">
        <v>27</v>
      </c>
      <c r="E446">
        <v>927.15</v>
      </c>
      <c r="F446" s="6"/>
    </row>
    <row r="447" spans="1:6" ht="15.75" thickBot="1">
      <c r="A447" s="15"/>
      <c r="B447" s="8"/>
      <c r="C447" s="8"/>
      <c r="D447" t="s">
        <v>28</v>
      </c>
      <c r="E447">
        <f>+E446-E445</f>
        <v>700.2299999999999</v>
      </c>
      <c r="F447" s="9"/>
    </row>
    <row r="448" spans="1:6" ht="15.75" thickBot="1">
      <c r="A448" s="16"/>
    </row>
    <row r="449" spans="1:6" ht="15">
      <c r="A449" s="1" t="s">
        <v>29</v>
      </c>
      <c r="B449" s="2">
        <v>46141</v>
      </c>
      <c r="C449" s="3"/>
      <c r="D449" s="3"/>
      <c r="E449" s="3"/>
      <c r="F449" s="4"/>
    </row>
    <row r="450" spans="1:6" ht="15">
      <c r="A450" s="5" t="s">
        <v>187</v>
      </c>
      <c r="B450" t="s">
        <v>189</v>
      </c>
      <c r="F450" s="6"/>
    </row>
    <row r="451" spans="1:6" ht="15">
      <c r="A451" s="5" t="s">
        <v>188</v>
      </c>
      <c r="B451" t="s">
        <v>190</v>
      </c>
      <c r="F451" s="6"/>
    </row>
    <row r="452" spans="1:6" ht="15">
      <c r="A452" s="5" t="s">
        <v>3</v>
      </c>
      <c r="B452" t="s">
        <v>12</v>
      </c>
      <c r="C452" t="s">
        <v>11</v>
      </c>
      <c r="D452" t="s">
        <v>22</v>
      </c>
      <c r="E452" t="s">
        <v>25</v>
      </c>
      <c r="F452" s="6"/>
    </row>
    <row r="453" spans="1:6" ht="15">
      <c r="A453" s="5" t="s">
        <v>191</v>
      </c>
      <c r="B453" t="s">
        <v>192</v>
      </c>
      <c r="C453">
        <v>20</v>
      </c>
      <c r="D453">
        <v>3.1</v>
      </c>
      <c r="E453">
        <f>+D453*C453</f>
        <v>62</v>
      </c>
      <c r="F453" s="6"/>
    </row>
    <row r="454" spans="1:6" ht="15">
      <c r="A454" s="5" t="s">
        <v>5</v>
      </c>
      <c r="B454" t="s">
        <v>14</v>
      </c>
      <c r="C454">
        <v>38</v>
      </c>
      <c r="D454">
        <v>0.81799999999999995</v>
      </c>
      <c r="E454">
        <f t="shared" ref="E454:E460" si="27">+D454*C454</f>
        <v>31.084</v>
      </c>
      <c r="F454" s="6"/>
    </row>
    <row r="455" spans="1:6">
      <c r="A455" s="5" t="s">
        <v>23</v>
      </c>
      <c r="B455" t="s">
        <v>24</v>
      </c>
      <c r="C455">
        <v>38</v>
      </c>
      <c r="D455">
        <v>0.55400000000000005</v>
      </c>
      <c r="E455">
        <f t="shared" si="27"/>
        <v>21.052000000000003</v>
      </c>
      <c r="F455" s="6"/>
    </row>
    <row r="456" spans="1:6" ht="15">
      <c r="A456" s="5" t="s">
        <v>6</v>
      </c>
      <c r="B456" t="s">
        <v>15</v>
      </c>
      <c r="C456">
        <v>4</v>
      </c>
      <c r="D456">
        <v>0.67200000000000004</v>
      </c>
      <c r="E456">
        <f t="shared" si="27"/>
        <v>2.6880000000000002</v>
      </c>
      <c r="F456" s="6"/>
    </row>
    <row r="457" spans="1:6" ht="15">
      <c r="A457" s="5" t="s">
        <v>7</v>
      </c>
      <c r="B457" t="s">
        <v>16</v>
      </c>
      <c r="C457">
        <v>4</v>
      </c>
      <c r="D457">
        <v>0.72199999999999998</v>
      </c>
      <c r="E457">
        <f t="shared" si="27"/>
        <v>2.8879999999999999</v>
      </c>
      <c r="F457" s="6"/>
    </row>
    <row r="458" spans="1:6">
      <c r="A458" s="5" t="s">
        <v>8</v>
      </c>
      <c r="B458" t="s">
        <v>17</v>
      </c>
      <c r="C458">
        <v>4</v>
      </c>
      <c r="D458">
        <v>0.43</v>
      </c>
      <c r="E458">
        <f t="shared" si="27"/>
        <v>1.72</v>
      </c>
      <c r="F458" s="6"/>
    </row>
    <row r="459" spans="1:6" ht="15">
      <c r="A459" s="5" t="s">
        <v>9</v>
      </c>
      <c r="B459" t="s">
        <v>18</v>
      </c>
      <c r="C459">
        <v>4</v>
      </c>
      <c r="D459">
        <v>2.63</v>
      </c>
      <c r="E459">
        <f t="shared" si="27"/>
        <v>10.52</v>
      </c>
      <c r="F459" s="6"/>
    </row>
    <row r="460" spans="1:6" ht="15">
      <c r="A460" s="5" t="s">
        <v>10</v>
      </c>
      <c r="B460" t="s">
        <v>19</v>
      </c>
      <c r="C460">
        <v>4</v>
      </c>
      <c r="D460">
        <v>0.59</v>
      </c>
      <c r="E460">
        <f t="shared" si="27"/>
        <v>2.36</v>
      </c>
      <c r="F460" s="6"/>
    </row>
    <row r="461" spans="1:6" ht="15">
      <c r="A461" s="5"/>
      <c r="F461" s="6"/>
    </row>
    <row r="462" spans="1:6" ht="15">
      <c r="A462" s="5"/>
      <c r="D462" t="s">
        <v>26</v>
      </c>
      <c r="E462">
        <f>SUM(E453:E461)</f>
        <v>134.31200000000004</v>
      </c>
      <c r="F462" s="6">
        <f>+E462/E463</f>
        <v>0.35467532810478236</v>
      </c>
    </row>
    <row r="463" spans="1:6" ht="15">
      <c r="A463" s="5"/>
      <c r="D463" t="s">
        <v>27</v>
      </c>
      <c r="E463">
        <v>378.69</v>
      </c>
      <c r="F463" s="6"/>
    </row>
    <row r="464" spans="1:6" ht="15.75" thickBot="1">
      <c r="A464" s="7"/>
      <c r="B464" s="8"/>
      <c r="C464" s="8"/>
      <c r="D464" s="8" t="s">
        <v>28</v>
      </c>
      <c r="E464" s="8">
        <f>+E463-E462</f>
        <v>244.37799999999996</v>
      </c>
      <c r="F464" s="9"/>
    </row>
    <row r="465" spans="1:6" ht="15.75" thickBot="1"/>
    <row r="466" spans="1:6" ht="15">
      <c r="A466" s="1" t="s">
        <v>2</v>
      </c>
      <c r="B466" s="2">
        <v>46140</v>
      </c>
      <c r="C466" s="3"/>
      <c r="D466" s="3"/>
      <c r="E466" s="3"/>
      <c r="F466" s="4"/>
    </row>
    <row r="467" spans="1:6" ht="15">
      <c r="A467" s="5"/>
      <c r="B467" s="10" t="s">
        <v>193</v>
      </c>
      <c r="F467" s="6"/>
    </row>
    <row r="468" spans="1:6" ht="15">
      <c r="A468" s="5"/>
      <c r="B468" s="10" t="s">
        <v>194</v>
      </c>
      <c r="F468" s="6"/>
    </row>
    <row r="469" spans="1:6" ht="15">
      <c r="A469" s="5"/>
      <c r="B469" s="10" t="s">
        <v>195</v>
      </c>
      <c r="F469" s="6"/>
    </row>
    <row r="470" spans="1:6" ht="15">
      <c r="A470" s="5"/>
      <c r="B470" s="10" t="s">
        <v>196</v>
      </c>
      <c r="F470" s="6"/>
    </row>
    <row r="471" spans="1:6" ht="15">
      <c r="A471" s="5"/>
      <c r="B471" s="10" t="s">
        <v>197</v>
      </c>
      <c r="F471" s="6"/>
    </row>
    <row r="472" spans="1:6" ht="15">
      <c r="A472" s="5" t="s">
        <v>3</v>
      </c>
      <c r="B472" t="s">
        <v>12</v>
      </c>
      <c r="C472" t="s">
        <v>11</v>
      </c>
      <c r="D472" t="s">
        <v>22</v>
      </c>
      <c r="E472" t="s">
        <v>25</v>
      </c>
      <c r="F472" s="6"/>
    </row>
    <row r="473" spans="1:6" ht="15">
      <c r="A473" s="5"/>
      <c r="F473" s="6"/>
    </row>
    <row r="474" spans="1:6" ht="15">
      <c r="A474" s="12" t="s">
        <v>198</v>
      </c>
      <c r="B474" t="s">
        <v>199</v>
      </c>
      <c r="C474">
        <v>30</v>
      </c>
      <c r="D474">
        <v>3.54</v>
      </c>
      <c r="E474">
        <f t="shared" ref="E474:E476" si="28">+D474*C474</f>
        <v>106.2</v>
      </c>
      <c r="F474" s="6"/>
    </row>
    <row r="475" spans="1:6" ht="15">
      <c r="A475" s="12" t="s">
        <v>184</v>
      </c>
      <c r="B475" t="s">
        <v>202</v>
      </c>
      <c r="C475">
        <v>2</v>
      </c>
      <c r="D475">
        <v>0.64</v>
      </c>
      <c r="E475">
        <f t="shared" si="28"/>
        <v>1.28</v>
      </c>
      <c r="F475" s="6"/>
    </row>
    <row r="476" spans="1:6" ht="15">
      <c r="A476" s="12" t="s">
        <v>200</v>
      </c>
      <c r="B476" t="s">
        <v>201</v>
      </c>
      <c r="C476">
        <v>57</v>
      </c>
      <c r="D476">
        <v>0.67</v>
      </c>
      <c r="E476">
        <f t="shared" si="28"/>
        <v>38.190000000000005</v>
      </c>
      <c r="F476" s="6"/>
    </row>
    <row r="477" spans="1:6">
      <c r="A477" s="12" t="s">
        <v>23</v>
      </c>
      <c r="B477" t="s">
        <v>24</v>
      </c>
      <c r="C477">
        <v>38</v>
      </c>
      <c r="D477">
        <v>0.55400000000000005</v>
      </c>
      <c r="E477">
        <f t="shared" ref="E477:E482" si="29">+D477*C477</f>
        <v>21.052000000000003</v>
      </c>
      <c r="F477" s="6"/>
    </row>
    <row r="478" spans="1:6" ht="15">
      <c r="A478" s="12" t="s">
        <v>6</v>
      </c>
      <c r="B478" t="s">
        <v>15</v>
      </c>
      <c r="C478">
        <v>5</v>
      </c>
      <c r="D478">
        <v>0.67200000000000004</v>
      </c>
      <c r="E478">
        <f t="shared" si="29"/>
        <v>3.3600000000000003</v>
      </c>
      <c r="F478" s="6"/>
    </row>
    <row r="479" spans="1:6" ht="15">
      <c r="A479" s="12" t="s">
        <v>7</v>
      </c>
      <c r="B479" t="s">
        <v>16</v>
      </c>
      <c r="C479">
        <v>5</v>
      </c>
      <c r="D479">
        <v>0.72199999999999998</v>
      </c>
      <c r="E479">
        <f t="shared" si="29"/>
        <v>3.61</v>
      </c>
      <c r="F479" s="6"/>
    </row>
    <row r="480" spans="1:6">
      <c r="A480" s="12" t="s">
        <v>8</v>
      </c>
      <c r="B480" t="s">
        <v>17</v>
      </c>
      <c r="C480">
        <v>5</v>
      </c>
      <c r="D480">
        <v>0.43</v>
      </c>
      <c r="E480">
        <f t="shared" si="29"/>
        <v>2.15</v>
      </c>
      <c r="F480" s="6"/>
    </row>
    <row r="481" spans="1:6" ht="15">
      <c r="A481" s="12" t="s">
        <v>9</v>
      </c>
      <c r="B481" t="s">
        <v>18</v>
      </c>
      <c r="C481">
        <v>5</v>
      </c>
      <c r="D481">
        <v>2.63</v>
      </c>
      <c r="E481">
        <f t="shared" si="29"/>
        <v>13.149999999999999</v>
      </c>
      <c r="F481" s="6"/>
    </row>
    <row r="482" spans="1:6" ht="15">
      <c r="A482" s="12" t="s">
        <v>8</v>
      </c>
      <c r="B482" t="s">
        <v>19</v>
      </c>
      <c r="C482">
        <v>5</v>
      </c>
      <c r="D482">
        <v>0.59</v>
      </c>
      <c r="E482">
        <f t="shared" si="29"/>
        <v>2.9499999999999997</v>
      </c>
      <c r="F482" s="6"/>
    </row>
    <row r="483" spans="1:6" ht="15">
      <c r="A483" s="12"/>
      <c r="F483" s="6"/>
    </row>
    <row r="484" spans="1:6" ht="15">
      <c r="A484" s="12"/>
      <c r="D484" t="s">
        <v>26</v>
      </c>
      <c r="E484">
        <f>SUM(E474:E483)</f>
        <v>191.94200000000004</v>
      </c>
      <c r="F484" s="6"/>
    </row>
    <row r="485" spans="1:6" ht="15">
      <c r="A485" s="12"/>
      <c r="D485" t="s">
        <v>27</v>
      </c>
      <c r="E485">
        <v>1041.97</v>
      </c>
      <c r="F485" s="6"/>
    </row>
    <row r="486" spans="1:6" ht="15.75" thickBot="1">
      <c r="A486" s="15"/>
      <c r="B486" s="8"/>
      <c r="C486" s="8"/>
      <c r="D486" s="8" t="s">
        <v>28</v>
      </c>
      <c r="E486" s="8">
        <f>+E485-E484</f>
        <v>850.02800000000002</v>
      </c>
      <c r="F486" s="6"/>
    </row>
    <row r="487" spans="1:6" ht="15">
      <c r="A487" s="12"/>
      <c r="F487" s="6"/>
    </row>
    <row r="488" spans="1:6" ht="15">
      <c r="A488" s="12"/>
      <c r="F488" s="6"/>
    </row>
    <row r="489" spans="1:6" ht="15.75" thickBot="1">
      <c r="A489" s="15"/>
      <c r="B489" s="8"/>
      <c r="C489" s="8"/>
      <c r="D489" s="8"/>
      <c r="E489" s="8"/>
      <c r="F489" s="9"/>
    </row>
    <row r="490" spans="1:6" ht="15.75" thickBot="1">
      <c r="A490" s="16"/>
    </row>
    <row r="491" spans="1:6" ht="15">
      <c r="A491" s="1" t="s">
        <v>203</v>
      </c>
      <c r="B491" s="2">
        <v>46141</v>
      </c>
      <c r="C491" s="3"/>
      <c r="D491" s="3"/>
      <c r="E491" s="3"/>
      <c r="F491" s="4"/>
    </row>
    <row r="492" spans="1:6" ht="15">
      <c r="A492" s="5"/>
      <c r="B492" s="10" t="s">
        <v>204</v>
      </c>
      <c r="F492" s="6"/>
    </row>
    <row r="493" spans="1:6" ht="15">
      <c r="A493" s="5"/>
      <c r="B493" s="10" t="s">
        <v>205</v>
      </c>
      <c r="F493" s="6"/>
    </row>
    <row r="494" spans="1:6" ht="15">
      <c r="A494" s="5"/>
      <c r="B494" s="10" t="s">
        <v>206</v>
      </c>
      <c r="F494" s="6"/>
    </row>
    <row r="495" spans="1:6" ht="15">
      <c r="A495" s="5"/>
      <c r="B495" s="10" t="s">
        <v>207</v>
      </c>
      <c r="F495" s="6"/>
    </row>
    <row r="496" spans="1:6" ht="15">
      <c r="A496" s="5"/>
      <c r="B496" s="10"/>
      <c r="F496" s="6"/>
    </row>
    <row r="497" spans="1:6" ht="15">
      <c r="A497" s="5" t="s">
        <v>3</v>
      </c>
      <c r="B497" t="s">
        <v>12</v>
      </c>
      <c r="C497" t="s">
        <v>11</v>
      </c>
      <c r="D497" t="s">
        <v>22</v>
      </c>
      <c r="E497" t="s">
        <v>25</v>
      </c>
      <c r="F497" s="6"/>
    </row>
    <row r="498" spans="1:6" ht="15">
      <c r="A498" s="5"/>
      <c r="F498" s="6"/>
    </row>
    <row r="499" spans="1:6" ht="15">
      <c r="A499" s="11" t="s">
        <v>208</v>
      </c>
      <c r="B499" t="s">
        <v>209</v>
      </c>
      <c r="C499">
        <v>13</v>
      </c>
      <c r="D499">
        <v>3.7</v>
      </c>
      <c r="E499">
        <f t="shared" ref="E499:E522" si="30">+D499*C499</f>
        <v>48.1</v>
      </c>
      <c r="F499" s="6"/>
    </row>
    <row r="500" spans="1:6" ht="15">
      <c r="A500" s="11" t="s">
        <v>210</v>
      </c>
      <c r="B500" t="s">
        <v>211</v>
      </c>
      <c r="C500">
        <v>7</v>
      </c>
      <c r="D500">
        <v>3.7</v>
      </c>
      <c r="E500">
        <f t="shared" si="30"/>
        <v>25.900000000000002</v>
      </c>
      <c r="F500" s="6"/>
    </row>
    <row r="501" spans="1:6" ht="15">
      <c r="A501" s="11" t="s">
        <v>157</v>
      </c>
      <c r="B501" t="s">
        <v>212</v>
      </c>
      <c r="C501">
        <v>22</v>
      </c>
      <c r="D501">
        <v>4.8</v>
      </c>
      <c r="E501">
        <f t="shared" si="30"/>
        <v>105.6</v>
      </c>
      <c r="F501" s="6"/>
    </row>
    <row r="502" spans="1:6">
      <c r="A502" s="11" t="s">
        <v>213</v>
      </c>
      <c r="B502" t="s">
        <v>214</v>
      </c>
      <c r="C502">
        <v>19</v>
      </c>
      <c r="D502">
        <v>2.76</v>
      </c>
      <c r="E502">
        <f t="shared" si="30"/>
        <v>52.44</v>
      </c>
      <c r="F502" s="6"/>
    </row>
    <row r="503" spans="1:6" ht="15">
      <c r="A503" s="11" t="s">
        <v>85</v>
      </c>
      <c r="B503" t="s">
        <v>215</v>
      </c>
      <c r="C503">
        <v>38</v>
      </c>
      <c r="D503">
        <v>0.67</v>
      </c>
      <c r="E503">
        <f t="shared" si="30"/>
        <v>25.46</v>
      </c>
      <c r="F503" s="6"/>
    </row>
    <row r="504" spans="1:6" ht="15">
      <c r="A504" s="11" t="s">
        <v>200</v>
      </c>
      <c r="B504" t="s">
        <v>201</v>
      </c>
      <c r="C504">
        <v>19</v>
      </c>
      <c r="D504">
        <v>0.67</v>
      </c>
      <c r="E504">
        <f t="shared" si="30"/>
        <v>12.73</v>
      </c>
      <c r="F504" s="6"/>
    </row>
    <row r="505" spans="1:6">
      <c r="A505" s="11" t="s">
        <v>23</v>
      </c>
      <c r="B505" t="s">
        <v>24</v>
      </c>
      <c r="C505">
        <v>19</v>
      </c>
      <c r="D505">
        <v>0.55400000000000005</v>
      </c>
      <c r="E505">
        <f t="shared" si="30"/>
        <v>10.526000000000002</v>
      </c>
      <c r="F505" s="6"/>
    </row>
    <row r="506" spans="1:6" ht="15">
      <c r="A506" s="11" t="s">
        <v>6</v>
      </c>
      <c r="B506" t="s">
        <v>15</v>
      </c>
      <c r="C506">
        <v>5</v>
      </c>
      <c r="D506">
        <v>0.67200000000000004</v>
      </c>
      <c r="E506">
        <f t="shared" si="30"/>
        <v>3.3600000000000003</v>
      </c>
      <c r="F506" s="6"/>
    </row>
    <row r="507" spans="1:6" ht="15">
      <c r="A507" s="11" t="s">
        <v>7</v>
      </c>
      <c r="B507" t="s">
        <v>16</v>
      </c>
      <c r="C507">
        <v>5</v>
      </c>
      <c r="D507">
        <v>0.72199999999999998</v>
      </c>
      <c r="E507">
        <f t="shared" si="30"/>
        <v>3.61</v>
      </c>
      <c r="F507" s="6"/>
    </row>
    <row r="508" spans="1:6">
      <c r="A508" s="11" t="s">
        <v>8</v>
      </c>
      <c r="B508" t="s">
        <v>17</v>
      </c>
      <c r="C508">
        <v>6</v>
      </c>
      <c r="D508">
        <v>0.43</v>
      </c>
      <c r="E508">
        <f t="shared" si="30"/>
        <v>2.58</v>
      </c>
      <c r="F508" s="6"/>
    </row>
    <row r="509" spans="1:6" ht="15">
      <c r="A509" s="11" t="s">
        <v>9</v>
      </c>
      <c r="B509" t="s">
        <v>18</v>
      </c>
      <c r="C509">
        <v>4</v>
      </c>
      <c r="D509">
        <v>2.63</v>
      </c>
      <c r="E509">
        <f t="shared" si="30"/>
        <v>10.52</v>
      </c>
      <c r="F509" s="6"/>
    </row>
    <row r="510" spans="1:6" ht="15">
      <c r="A510" s="11" t="s">
        <v>8</v>
      </c>
      <c r="B510" t="s">
        <v>19</v>
      </c>
      <c r="C510">
        <v>6</v>
      </c>
      <c r="D510">
        <v>0.59</v>
      </c>
      <c r="E510">
        <f t="shared" si="30"/>
        <v>3.54</v>
      </c>
      <c r="F510" s="6"/>
    </row>
    <row r="511" spans="1:6" ht="15">
      <c r="A511" s="12" t="s">
        <v>216</v>
      </c>
      <c r="B511" t="s">
        <v>224</v>
      </c>
      <c r="C511">
        <v>1</v>
      </c>
      <c r="D511">
        <v>1.85</v>
      </c>
      <c r="E511">
        <f t="shared" si="30"/>
        <v>1.85</v>
      </c>
      <c r="F511" s="6"/>
    </row>
    <row r="512" spans="1:6">
      <c r="A512" s="12" t="s">
        <v>230</v>
      </c>
      <c r="B512" t="s">
        <v>231</v>
      </c>
      <c r="C512">
        <v>2</v>
      </c>
      <c r="D512">
        <v>1.17</v>
      </c>
      <c r="E512">
        <f t="shared" si="30"/>
        <v>2.34</v>
      </c>
      <c r="F512" s="6"/>
    </row>
    <row r="513" spans="1:6" ht="15">
      <c r="A513" s="12" t="s">
        <v>217</v>
      </c>
      <c r="B513" t="s">
        <v>225</v>
      </c>
      <c r="C513">
        <v>1</v>
      </c>
      <c r="D513">
        <v>2.29</v>
      </c>
      <c r="E513">
        <f t="shared" si="30"/>
        <v>2.29</v>
      </c>
      <c r="F513" s="6"/>
    </row>
    <row r="514" spans="1:6" ht="15">
      <c r="A514" s="12" t="s">
        <v>218</v>
      </c>
      <c r="B514" t="s">
        <v>226</v>
      </c>
      <c r="C514">
        <v>1</v>
      </c>
      <c r="D514">
        <v>33</v>
      </c>
      <c r="E514">
        <f t="shared" si="30"/>
        <v>33</v>
      </c>
      <c r="F514" s="6"/>
    </row>
    <row r="515" spans="1:6" ht="15">
      <c r="A515" s="12" t="s">
        <v>219</v>
      </c>
      <c r="B515" t="s">
        <v>227</v>
      </c>
      <c r="C515">
        <v>1</v>
      </c>
      <c r="D515">
        <v>14.42</v>
      </c>
      <c r="E515">
        <f t="shared" si="30"/>
        <v>14.42</v>
      </c>
      <c r="F515" s="6"/>
    </row>
    <row r="516" spans="1:6" ht="15">
      <c r="A516" s="12" t="s">
        <v>220</v>
      </c>
      <c r="B516" t="s">
        <v>228</v>
      </c>
      <c r="C516">
        <v>1</v>
      </c>
      <c r="D516">
        <v>1.06</v>
      </c>
      <c r="E516">
        <f t="shared" si="30"/>
        <v>1.06</v>
      </c>
      <c r="F516" s="6"/>
    </row>
    <row r="517" spans="1:6" ht="15">
      <c r="A517" s="12" t="s">
        <v>221</v>
      </c>
      <c r="B517" t="s">
        <v>237</v>
      </c>
      <c r="C517">
        <v>1</v>
      </c>
      <c r="D517">
        <v>1.63</v>
      </c>
      <c r="E517">
        <f t="shared" si="30"/>
        <v>1.63</v>
      </c>
      <c r="F517" s="6"/>
    </row>
    <row r="518" spans="1:6" ht="15">
      <c r="A518" s="12" t="s">
        <v>235</v>
      </c>
      <c r="B518" t="s">
        <v>236</v>
      </c>
      <c r="C518">
        <v>1</v>
      </c>
      <c r="D518">
        <v>0.72</v>
      </c>
      <c r="E518">
        <f t="shared" si="30"/>
        <v>0.72</v>
      </c>
      <c r="F518" s="6"/>
    </row>
    <row r="519" spans="1:6" ht="15">
      <c r="A519" s="12" t="s">
        <v>222</v>
      </c>
      <c r="B519" t="s">
        <v>229</v>
      </c>
      <c r="C519">
        <v>1</v>
      </c>
      <c r="D519">
        <v>1.19</v>
      </c>
      <c r="E519">
        <f t="shared" si="30"/>
        <v>1.19</v>
      </c>
      <c r="F519" s="6"/>
    </row>
    <row r="520" spans="1:6" ht="15">
      <c r="A520" s="12" t="s">
        <v>33</v>
      </c>
      <c r="B520" t="s">
        <v>232</v>
      </c>
      <c r="C520">
        <v>1</v>
      </c>
      <c r="D520">
        <v>2.64</v>
      </c>
      <c r="E520">
        <f t="shared" si="30"/>
        <v>2.64</v>
      </c>
      <c r="F520" s="6"/>
    </row>
    <row r="521" spans="1:6" ht="15">
      <c r="A521" s="12" t="s">
        <v>44</v>
      </c>
      <c r="B521" t="s">
        <v>233</v>
      </c>
      <c r="C521">
        <v>4</v>
      </c>
      <c r="D521">
        <v>0.56999999999999995</v>
      </c>
      <c r="E521">
        <f t="shared" si="30"/>
        <v>2.2799999999999998</v>
      </c>
      <c r="F521" s="6"/>
    </row>
    <row r="522" spans="1:6" ht="15">
      <c r="A522" s="12" t="s">
        <v>223</v>
      </c>
      <c r="B522" t="s">
        <v>234</v>
      </c>
      <c r="C522">
        <v>1</v>
      </c>
      <c r="D522">
        <v>0.56999999999999995</v>
      </c>
      <c r="E522">
        <f t="shared" si="30"/>
        <v>0.56999999999999995</v>
      </c>
      <c r="F522" s="6"/>
    </row>
    <row r="523" spans="1:6" ht="15">
      <c r="A523" s="12"/>
      <c r="F523" s="6"/>
    </row>
    <row r="524" spans="1:6" ht="15">
      <c r="A524" s="12"/>
      <c r="F524" s="6"/>
    </row>
    <row r="525" spans="1:6" ht="15">
      <c r="A525" s="12"/>
      <c r="F525" s="6"/>
    </row>
    <row r="526" spans="1:6" ht="15">
      <c r="A526" s="12"/>
      <c r="F526" s="6"/>
    </row>
    <row r="527" spans="1:6" ht="15">
      <c r="A527" s="12"/>
      <c r="D527" t="s">
        <v>26</v>
      </c>
      <c r="E527">
        <f>SUM(E499:E526)</f>
        <v>368.35600000000005</v>
      </c>
      <c r="F527" s="6"/>
    </row>
    <row r="528" spans="1:6" ht="15">
      <c r="A528" s="12"/>
      <c r="D528" t="s">
        <v>27</v>
      </c>
      <c r="E528">
        <v>1239.46</v>
      </c>
      <c r="F528" s="6"/>
    </row>
    <row r="529" spans="1:6" ht="15.75" thickBot="1">
      <c r="A529" s="15"/>
      <c r="B529" s="8"/>
      <c r="C529" s="8"/>
      <c r="D529" s="8" t="s">
        <v>28</v>
      </c>
      <c r="E529" s="8">
        <f>+E528-E527</f>
        <v>871.10400000000004</v>
      </c>
      <c r="F529" s="6"/>
    </row>
    <row r="530" spans="1:6" ht="15">
      <c r="A530" s="12"/>
      <c r="F530" s="6"/>
    </row>
    <row r="531" spans="1:6" ht="15">
      <c r="A531" s="12"/>
      <c r="F531" s="6"/>
    </row>
    <row r="532" spans="1:6" ht="15.75" thickBot="1">
      <c r="A532" s="15"/>
      <c r="B532" s="8"/>
      <c r="C532" s="8"/>
      <c r="D532" s="8"/>
      <c r="E532" s="8"/>
      <c r="F532" s="9"/>
    </row>
    <row r="533" spans="1:6" ht="15.75" thickBot="1"/>
    <row r="534" spans="1:6" ht="15">
      <c r="A534" s="1" t="s">
        <v>238</v>
      </c>
      <c r="B534" s="2">
        <v>46142</v>
      </c>
      <c r="C534" s="3"/>
      <c r="D534" s="3"/>
      <c r="E534" s="3"/>
      <c r="F534" s="4"/>
    </row>
    <row r="535" spans="1:6" ht="15">
      <c r="A535" s="5" t="s">
        <v>239</v>
      </c>
      <c r="B535" s="10" t="s">
        <v>244</v>
      </c>
      <c r="F535" s="6"/>
    </row>
    <row r="536" spans="1:6" ht="15">
      <c r="A536" s="5" t="s">
        <v>240</v>
      </c>
      <c r="B536" s="10" t="s">
        <v>241</v>
      </c>
      <c r="F536" s="6"/>
    </row>
    <row r="537" spans="1:6" ht="15">
      <c r="B537" s="10" t="s">
        <v>242</v>
      </c>
      <c r="F537" s="6"/>
    </row>
    <row r="538" spans="1:6" ht="15">
      <c r="A538" s="5"/>
      <c r="B538" s="10" t="s">
        <v>243</v>
      </c>
      <c r="F538" s="6"/>
    </row>
    <row r="540" spans="1:6" ht="15">
      <c r="A540" s="5"/>
      <c r="F540" s="6"/>
    </row>
    <row r="541" spans="1:6">
      <c r="A541" s="5"/>
      <c r="B541" s="10" t="s">
        <v>245</v>
      </c>
      <c r="F541" s="6"/>
    </row>
    <row r="542" spans="1:6" ht="15">
      <c r="A542" s="5"/>
      <c r="F542" s="6"/>
    </row>
    <row r="543" spans="1:6" ht="15">
      <c r="A543" s="5"/>
      <c r="F543" s="6"/>
    </row>
    <row r="544" spans="1:6" ht="15">
      <c r="A544" s="5"/>
      <c r="F544" s="6"/>
    </row>
    <row r="545" spans="1:6" ht="15">
      <c r="A545" s="5"/>
      <c r="F545" s="6"/>
    </row>
    <row r="546" spans="1:6" ht="15">
      <c r="A546" s="5"/>
      <c r="F546" s="6"/>
    </row>
    <row r="547" spans="1:6" ht="15">
      <c r="A547" s="5"/>
      <c r="F547" s="6"/>
    </row>
    <row r="548" spans="1:6" ht="15">
      <c r="A548" s="5"/>
      <c r="F548" s="6"/>
    </row>
    <row r="549" spans="1:6" ht="15">
      <c r="A549" s="5"/>
      <c r="F549" s="6"/>
    </row>
    <row r="550" spans="1:6" ht="15">
      <c r="A550" s="5"/>
      <c r="F550" s="6"/>
    </row>
    <row r="551" spans="1:6" ht="15">
      <c r="A551" s="5"/>
      <c r="F551" s="6"/>
    </row>
    <row r="552" spans="1:6" ht="15">
      <c r="A552" s="5"/>
      <c r="D552" t="s">
        <v>26</v>
      </c>
      <c r="E552">
        <f>SUM(E542:E551)</f>
        <v>0</v>
      </c>
      <c r="F552" s="6"/>
    </row>
    <row r="553" spans="1:6" ht="15">
      <c r="A553" s="5"/>
      <c r="D553" t="s">
        <v>27</v>
      </c>
      <c r="E553">
        <v>826.3</v>
      </c>
      <c r="F553" s="6"/>
    </row>
    <row r="554" spans="1:6" ht="15.75" thickBot="1">
      <c r="A554" s="7"/>
      <c r="B554" s="8"/>
      <c r="C554" s="8"/>
      <c r="D554" s="8" t="s">
        <v>28</v>
      </c>
      <c r="E554" s="8">
        <f>+E553-E552</f>
        <v>826.3</v>
      </c>
      <c r="F554" s="6"/>
    </row>
    <row r="555" spans="1:6" ht="15">
      <c r="A555" s="5"/>
      <c r="F555" s="6"/>
    </row>
    <row r="556" spans="1:6" ht="15">
      <c r="A556" s="5"/>
      <c r="F556" s="6"/>
    </row>
    <row r="557" spans="1:6" ht="15.75" thickBot="1">
      <c r="A557" s="7"/>
      <c r="B557" s="8"/>
      <c r="C557" s="8"/>
      <c r="D557" s="8"/>
      <c r="E557" s="8"/>
      <c r="F557" s="9"/>
    </row>
    <row r="558" spans="1:6" ht="15.75" thickBot="1"/>
    <row r="559" spans="1:6" ht="15">
      <c r="A559" s="1" t="s">
        <v>246</v>
      </c>
      <c r="B559" s="2">
        <v>46142</v>
      </c>
      <c r="C559" s="3"/>
      <c r="D559" s="3"/>
      <c r="E559" s="3"/>
      <c r="F559" s="4"/>
    </row>
    <row r="560" spans="1:6" ht="15">
      <c r="A560" s="5"/>
      <c r="B560" s="10" t="s">
        <v>247</v>
      </c>
      <c r="F560" s="6"/>
    </row>
    <row r="561" spans="1:6" ht="15">
      <c r="A561" s="5"/>
      <c r="B561" s="10"/>
      <c r="F561" s="6"/>
    </row>
    <row r="562" spans="1:6" ht="15">
      <c r="A562" s="5" t="s">
        <v>3</v>
      </c>
      <c r="B562" t="s">
        <v>12</v>
      </c>
      <c r="C562" t="s">
        <v>11</v>
      </c>
      <c r="D562" t="s">
        <v>22</v>
      </c>
      <c r="E562" t="s">
        <v>25</v>
      </c>
      <c r="F562" s="6"/>
    </row>
    <row r="563" spans="1:6" ht="15">
      <c r="A563" s="5"/>
      <c r="F563" s="6"/>
    </row>
    <row r="564" spans="1:6" ht="15">
      <c r="A564" s="12"/>
      <c r="B564" s="16"/>
      <c r="C564" s="16"/>
      <c r="F564" s="6"/>
    </row>
    <row r="565" spans="1:6" ht="15">
      <c r="A565" s="12" t="s">
        <v>256</v>
      </c>
      <c r="B565" s="12" t="s">
        <v>257</v>
      </c>
      <c r="C565" s="16">
        <v>16</v>
      </c>
      <c r="D565">
        <v>0.73</v>
      </c>
      <c r="E565">
        <f>+C565*D565</f>
        <v>11.68</v>
      </c>
      <c r="F565" s="6"/>
    </row>
    <row r="566" spans="1:6" ht="15">
      <c r="A566" s="12" t="s">
        <v>248</v>
      </c>
      <c r="B566" s="16" t="s">
        <v>249</v>
      </c>
      <c r="C566" s="16">
        <v>16</v>
      </c>
      <c r="D566">
        <v>0.26</v>
      </c>
      <c r="E566">
        <f t="shared" ref="E566:E568" si="31">+C566*D566</f>
        <v>4.16</v>
      </c>
      <c r="F566" s="6"/>
    </row>
    <row r="567" spans="1:6" ht="15">
      <c r="A567" s="12" t="s">
        <v>251</v>
      </c>
      <c r="B567" s="16" t="s">
        <v>250</v>
      </c>
      <c r="C567" s="16">
        <v>270</v>
      </c>
      <c r="D567">
        <v>0.3</v>
      </c>
      <c r="E567">
        <f t="shared" si="31"/>
        <v>81</v>
      </c>
      <c r="F567" s="6"/>
    </row>
    <row r="568" spans="1:6" ht="15">
      <c r="A568" s="12" t="s">
        <v>252</v>
      </c>
      <c r="B568" s="16" t="s">
        <v>254</v>
      </c>
      <c r="C568" s="16">
        <v>9</v>
      </c>
      <c r="D568">
        <v>0.91</v>
      </c>
      <c r="E568">
        <f t="shared" si="31"/>
        <v>8.19</v>
      </c>
      <c r="F568" s="6"/>
    </row>
    <row r="569" spans="1:6" ht="15">
      <c r="A569" s="12" t="s">
        <v>253</v>
      </c>
      <c r="B569" s="12" t="s">
        <v>255</v>
      </c>
      <c r="C569" s="16">
        <v>9</v>
      </c>
      <c r="D569">
        <v>1.29</v>
      </c>
      <c r="E569">
        <f>+C569*D569</f>
        <v>11.61</v>
      </c>
      <c r="F569" s="6"/>
    </row>
    <row r="570" spans="1:6" ht="15">
      <c r="A570" s="12"/>
      <c r="B570" s="16"/>
      <c r="C570" s="16"/>
      <c r="F570" s="6"/>
    </row>
    <row r="571" spans="1:6" ht="15">
      <c r="A571" s="12"/>
      <c r="B571" s="16"/>
      <c r="C571" s="16"/>
      <c r="F571" s="6"/>
    </row>
    <row r="572" spans="1:6" ht="15">
      <c r="A572" s="12"/>
      <c r="B572" s="16"/>
      <c r="C572" s="16"/>
      <c r="F572" s="6"/>
    </row>
    <row r="573" spans="1:6" ht="15">
      <c r="A573" s="12"/>
      <c r="B573" s="16"/>
      <c r="C573" s="16"/>
      <c r="F573" s="6"/>
    </row>
    <row r="574" spans="1:6" ht="15">
      <c r="A574" s="12"/>
      <c r="B574" s="16"/>
      <c r="C574" s="16"/>
      <c r="F574" s="6"/>
    </row>
    <row r="575" spans="1:6" ht="15">
      <c r="A575" s="12"/>
      <c r="D575" t="s">
        <v>26</v>
      </c>
      <c r="E575">
        <f>SUM(E565:E574)</f>
        <v>116.64</v>
      </c>
      <c r="F575" s="6"/>
    </row>
    <row r="576" spans="1:6" ht="15">
      <c r="A576" s="12"/>
      <c r="D576" t="s">
        <v>27</v>
      </c>
      <c r="E576">
        <v>265.01</v>
      </c>
      <c r="F576" s="6"/>
    </row>
    <row r="577" spans="1:6" ht="15">
      <c r="A577" s="12"/>
      <c r="D577" t="s">
        <v>28</v>
      </c>
      <c r="E577">
        <f>+E576-E575</f>
        <v>148.37</v>
      </c>
      <c r="F577" s="6"/>
    </row>
    <row r="578" spans="1:6" ht="15.75" thickBot="1">
      <c r="A578" s="7"/>
      <c r="B578" s="8"/>
      <c r="C578" s="8"/>
      <c r="D578" s="8"/>
      <c r="E578" s="8"/>
      <c r="F578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Mauricio Henriquez</dc:creator>
  <cp:lastModifiedBy>Diego Noyola</cp:lastModifiedBy>
  <dcterms:created xsi:type="dcterms:W3CDTF">2026-04-22T16:00:43Z</dcterms:created>
  <dcterms:modified xsi:type="dcterms:W3CDTF">2026-05-07T19:40:58Z</dcterms:modified>
</cp:coreProperties>
</file>